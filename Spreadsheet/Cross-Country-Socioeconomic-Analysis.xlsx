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6"/>
  <workbookPr/>
  <mc:AlternateContent xmlns:mc="http://schemas.openxmlformats.org/markup-compatibility/2006">
    <mc:Choice Requires="x15">
      <x15ac:absPath xmlns:x15ac="http://schemas.microsoft.com/office/spreadsheetml/2010/11/ac" url="/Users/arobsan99/Downloads/"/>
    </mc:Choice>
  </mc:AlternateContent>
  <xr:revisionPtr revIDLastSave="0" documentId="13_ncr:1_{388EB8B0-E244-0041-B701-93364E388BCD}" xr6:coauthVersionLast="47" xr6:coauthVersionMax="47" xr10:uidLastSave="{00000000-0000-0000-0000-000000000000}"/>
  <bookViews>
    <workbookView xWindow="0" yWindow="500" windowWidth="33600" windowHeight="19020" activeTab="3" xr2:uid="{00000000-000D-0000-FFFF-FFFF00000000}"/>
  </bookViews>
  <sheets>
    <sheet name="Table of Contents" sheetId="22" r:id="rId1"/>
    <sheet name="Sheet1" sheetId="1" r:id="rId2"/>
    <sheet name="Sheet2" sheetId="18" r:id="rId3"/>
    <sheet name="Sheet3" sheetId="19" r:id="rId4"/>
    <sheet name="Sheet4" sheetId="6" r:id="rId5"/>
    <sheet name="Sheet5" sheetId="7" r:id="rId6"/>
    <sheet name="Sheet6" sheetId="8" r:id="rId7"/>
    <sheet name="Sheet7" sheetId="9" r:id="rId8"/>
    <sheet name="Sheet8" sheetId="10" r:id="rId9"/>
    <sheet name="Sheet9" sheetId="14" r:id="rId10"/>
    <sheet name="Sheet10" sheetId="23" r:id="rId11"/>
    <sheet name="Sheet11" sheetId="26" r:id="rId12"/>
  </sheets>
  <definedNames>
    <definedName name="solver_eng" localSheetId="7" hidden="1">1</definedName>
    <definedName name="solver_lin" localSheetId="7" hidden="1">2</definedName>
    <definedName name="solver_neg" localSheetId="7" hidden="1">1</definedName>
    <definedName name="solver_num" localSheetId="7" hidden="1">0</definedName>
    <definedName name="solver_opt" localSheetId="7" hidden="1">Sheet7!$D$4</definedName>
    <definedName name="solver_typ" localSheetId="7" hidden="1">1</definedName>
    <definedName name="solver_val" localSheetId="7" hidden="1">0</definedName>
    <definedName name="solver_ver" localSheetId="7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9" l="1"/>
  <c r="D17" i="9"/>
</calcChain>
</file>

<file path=xl/sharedStrings.xml><?xml version="1.0" encoding="utf-8"?>
<sst xmlns="http://schemas.openxmlformats.org/spreadsheetml/2006/main" count="831" uniqueCount="393">
  <si>
    <t>ENTITY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</si>
  <si>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</si>
  <si>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</si>
  <si>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</si>
  <si>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</si>
  <si>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</si>
  <si>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</si>
  <si>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</si>
  <si>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</si>
  <si>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</si>
  <si>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</si>
  <si>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</si>
  <si>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</si>
  <si>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</si>
  <si>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</si>
  <si>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</si>
  <si>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</si>
  <si>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</si>
  <si>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</si>
  <si>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</si>
  <si>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</si>
  <si>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</si>
  <si>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</si>
  <si>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</si>
  <si>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</si>
  <si>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</si>
  <si>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</si>
  <si>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</si>
  <si>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</si>
  <si>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</si>
  <si>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</si>
  <si>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</si>
  <si>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</si>
  <si>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</si>
  <si>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</si>
  <si>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</si>
  <si>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</si>
  <si>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</si>
  <si>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</si>
  <si>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</si>
  <si>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</si>
  <si>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</si>
  <si>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</si>
  <si>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</si>
  <si>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</si>
  <si>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</si>
  <si>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</si>
  <si>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</si>
  <si>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</si>
  <si>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</si>
  <si>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Congo, Democratic Republic of the</t>
  </si>
  <si>
    <t>Congo, Republic of the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</si>
  <si>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</si>
  <si>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</si>
  <si>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</si>
  <si>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</si>
  <si>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</si>
  <si>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</si>
  <si>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</si>
  <si>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</si>
  <si>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</si>
  <si>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</si>
  <si>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</si>
  <si>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</si>
  <si>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</si>
  <si>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</si>
  <si>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</si>
  <si>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</si>
  <si>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</si>
  <si>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</si>
  <si>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</si>
  <si>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</si>
  <si>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(Islas Malvinas)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</si>
  <si>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</si>
  <si>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</si>
  <si>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</si>
  <si>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</si>
  <si>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</si>
  <si>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</si>
  <si>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</si>
  <si>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Gambia, The</t>
  </si>
  <si>
    <t>Gaza Strip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</si>
  <si>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</si>
  <si>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</si>
  <si>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</si>
  <si>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</si>
  <si>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</si>
  <si>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</si>
  <si>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</si>
  <si>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</si>
  <si>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</si>
  <si>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</si>
  <si>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</si>
  <si>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</si>
  <si>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</si>
  <si>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</si>
  <si>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</si>
  <si>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</si>
  <si>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</si>
  <si>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</si>
  <si>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</si>
  <si>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</si>
  <si>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</si>
  <si>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</si>
  <si>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</si>
  <si>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</si>
  <si>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</si>
  <si>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</si>
  <si>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</si>
  <si>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</si>
  <si>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</si>
  <si>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</si>
  <si>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</si>
  <si>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</si>
  <si>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</si>
  <si>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</si>
  <si>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</si>
  <si>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</si>
  <si>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</si>
  <si>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</si>
  <si>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</si>
  <si>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</si>
  <si>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</si>
  <si>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</si>
  <si>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</si>
  <si>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</si>
  <si>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</si>
  <si>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</si>
  <si>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</si>
  <si>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</si>
  <si>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</si>
  <si>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</si>
  <si>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</si>
  <si>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</si>
  <si>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</si>
  <si>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</si>
  <si>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</si>
  <si>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</si>
  <si>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</si>
  <si>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</si>
  <si>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</si>
  <si>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</si>
  <si>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</si>
  <si>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</si>
  <si>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</t>
  </si>
  <si>
    <t>Monaco</t>
  </si>
  <si>
    <t>Mongolia</t>
  </si>
  <si>
    <t>Montenegro</t>
  </si>
  <si>
    <t>Montserrat</t>
  </si>
  <si>
    <t>Morocco</t>
  </si>
  <si>
    <t>Mozambique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</si>
  <si>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</si>
  <si>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</si>
  <si>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</si>
  <si>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</si>
  <si>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</si>
  <si>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</si>
  <si>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</si>
  <si>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</si>
  <si>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</si>
  <si>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</si>
  <si>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</si>
  <si>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</si>
  <si>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</si>
  <si>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</si>
  <si>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</si>
  <si>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</si>
  <si>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</si>
  <si>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</si>
  <si>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</si>
  <si>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</si>
  <si>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</si>
  <si>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</si>
  <si>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</si>
  <si>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</si>
  <si>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</si>
  <si>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</si>
  <si>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</si>
  <si>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</si>
  <si>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</si>
  <si>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</si>
  <si>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</si>
  <si>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Helena, Ascension, and Tristan da Cunha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</si>
  <si>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</si>
  <si>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</si>
  <si>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</si>
  <si>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</si>
  <si>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</si>
  <si>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</si>
  <si>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</si>
  <si>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</si>
  <si>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</si>
  <si>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</si>
  <si>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</si>
  <si>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</si>
  <si>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</si>
  <si>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</si>
  <si>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</si>
  <si>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</si>
  <si>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</si>
  <si>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</si>
  <si>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</si>
  <si>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</si>
  <si>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Islands</t>
  </si>
  <si>
    <t>South Sudan</t>
  </si>
  <si>
    <t>Spain</t>
  </si>
  <si>
    <t>Sri Lanka</t>
  </si>
  <si>
    <t>Sudan</t>
  </si>
  <si>
    <t>Suriname</t>
  </si>
  <si>
    <t>Svalbard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</si>
  <si>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</si>
  <si>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</si>
  <si>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</si>
  <si>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</si>
  <si>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</si>
  <si>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</si>
  <si>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</si>
  <si>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</si>
  <si>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</si>
  <si>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</si>
  <si>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</si>
  <si>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</si>
  <si>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</si>
  <si>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</si>
  <si>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</si>
  <si>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</si>
  <si>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</si>
  <si>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</si>
  <si>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</si>
  <si>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</si>
  <si>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</si>
  <si>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</si>
  <si>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</si>
  <si>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</si>
  <si>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</si>
  <si>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</si>
  <si>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</si>
  <si>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</t>
  </si>
  <si>
    <t>Wallis and Futuna</t>
  </si>
  <si>
    <t>West Bank</t>
  </si>
  <si>
    <t>Western Sahara</t>
  </si>
  <si>
    <t>Yemen</t>
  </si>
  <si>
    <t>Zambia</t>
  </si>
  <si>
    <t>Zimbabwe</t>
  </si>
  <si>
    <t>Aaron Sanders</t>
  </si>
  <si>
    <r>
      <t xml:space="preserve">GDP </t>
    </r>
    <r>
      <rPr>
        <b/>
        <sz val="11"/>
        <color theme="1"/>
        <rFont val="Calibri"/>
        <family val="2"/>
        <scheme val="minor"/>
      </rPr>
      <t>per capita</t>
    </r>
  </si>
  <si>
    <t>Unemployment (%)</t>
  </si>
  <si>
    <t>Gini index</t>
  </si>
  <si>
    <t>Female literacy rate (%)</t>
  </si>
  <si>
    <t>GDP spent on education (%)</t>
  </si>
  <si>
    <t>Infant mortality rate as total deaths per 1000 live births</t>
  </si>
  <si>
    <t>Predominant religion</t>
  </si>
  <si>
    <t>Christian</t>
  </si>
  <si>
    <t>33.33 deaths/1,000 live births</t>
  </si>
  <si>
    <t>Sunni</t>
  </si>
  <si>
    <t>12.16 deaths/1,000 live births</t>
  </si>
  <si>
    <t>Muslim</t>
  </si>
  <si>
    <t>47.56 deaths/1,000 live births</t>
  </si>
  <si>
    <t>N/A</t>
  </si>
  <si>
    <t>Protestant</t>
  </si>
  <si>
    <t>7.84 deaths/1,000 live births</t>
  </si>
  <si>
    <t>Animist</t>
  </si>
  <si>
    <t>64.77 deeaths/1,000 live births</t>
  </si>
  <si>
    <t>11.48 deaths/1,000 live births</t>
  </si>
  <si>
    <t>31.13 deaths/1,000 live births</t>
  </si>
  <si>
    <t>26.26 deaths/1,000 live births</t>
  </si>
  <si>
    <t>57.23 deaths/1,000 live births</t>
  </si>
  <si>
    <t>Catholic</t>
  </si>
  <si>
    <t>4.44 deaths/1,000 live births</t>
  </si>
  <si>
    <t>20.52 deaths/1,000 live births</t>
  </si>
  <si>
    <t>Roman Catholic</t>
  </si>
  <si>
    <t>4.9 deaths/1,000 live births</t>
  </si>
  <si>
    <t>15.68 deaths/1,000 live births</t>
  </si>
  <si>
    <t>18.37 deaths/1,000 live births</t>
  </si>
  <si>
    <t>Buddhist</t>
  </si>
  <si>
    <t>45.62 deaths/1,000 live births</t>
  </si>
  <si>
    <t>Lutheran</t>
  </si>
  <si>
    <t>4.93 deaths/1,000 live births</t>
  </si>
  <si>
    <t>20.23 deaths/1,000 live births</t>
  </si>
  <si>
    <t>20.16 deaths/1,000 live births</t>
  </si>
  <si>
    <t>15.6 deaths/1,000 live births</t>
  </si>
  <si>
    <t>5.25 deaths/1,000 live births</t>
  </si>
  <si>
    <t>34.19 deaths/1,000 live births</t>
  </si>
  <si>
    <t>3.52 deaths/1,000 live births</t>
  </si>
  <si>
    <t>15.39 deaths/1,000 live births</t>
  </si>
  <si>
    <t>3.94 deaths/1,000 live births</t>
  </si>
  <si>
    <t>22.2 deaths/1,000 live births</t>
  </si>
  <si>
    <t>42.64 deaths/1,000 live births</t>
  </si>
  <si>
    <t>25.97 deaths/1,000 live births</t>
  </si>
  <si>
    <t>8.05 deaths/1,000 live births</t>
  </si>
  <si>
    <t>Sunni Muslim</t>
  </si>
  <si>
    <t>43.15 deaths/1,000 live births</t>
  </si>
  <si>
    <t>3.19 deaths/1,000 live births</t>
  </si>
  <si>
    <t>Religion</t>
  </si>
  <si>
    <t>Aminist</t>
  </si>
  <si>
    <t>Buddhust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</si>
  <si>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</si>
  <si>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</si>
  <si>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</si>
  <si>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</si>
  <si>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</si>
  <si>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</si>
  <si>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</si>
  <si>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</si>
  <si>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</si>
  <si>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</si>
  <si>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</si>
  <si>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</si>
  <si>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</si>
  <si>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</si>
  <si>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Lower CI (95%)</t>
  </si>
  <si>
    <t>Upper CI (95%)</t>
  </si>
  <si>
    <t>95% Confidence Interval for Mean GDP per Capita ($)</t>
  </si>
  <si>
    <t>95% Confidence Interval for GDP Spent on Education (%)</t>
  </si>
  <si>
    <t>Hypotheses</t>
  </si>
  <si>
    <t>Sample size</t>
  </si>
  <si>
    <t>n = 30</t>
  </si>
  <si>
    <t>Proportion of Christians (p-bar)</t>
  </si>
  <si>
    <t>Standard error (SE)</t>
  </si>
  <si>
    <t>Female Literacy Rate</t>
  </si>
  <si>
    <r>
      <t>z-statistic (z</t>
    </r>
    <r>
      <rPr>
        <sz val="12"/>
        <color theme="1"/>
        <rFont val="Calibri (Body)"/>
      </rPr>
      <t>st</t>
    </r>
    <r>
      <rPr>
        <sz val="14"/>
        <color theme="1"/>
        <rFont val="Calibri"/>
        <family val="2"/>
        <scheme val="minor"/>
      </rPr>
      <t>)</t>
    </r>
  </si>
  <si>
    <r>
      <t>H</t>
    </r>
    <r>
      <rPr>
        <sz val="14"/>
        <color theme="1"/>
        <rFont val="Calibri (Body)"/>
      </rPr>
      <t>o</t>
    </r>
    <r>
      <rPr>
        <sz val="14"/>
        <color theme="1"/>
        <rFont val="Calibri"/>
        <family val="2"/>
        <scheme val="minor"/>
      </rPr>
      <t xml:space="preserve"> : p ≤ 0.50</t>
    </r>
  </si>
  <si>
    <r>
      <t>H</t>
    </r>
    <r>
      <rPr>
        <sz val="14"/>
        <color theme="1"/>
        <rFont val="Calibri (Body)"/>
      </rPr>
      <t>a</t>
    </r>
    <r>
      <rPr>
        <sz val="14"/>
        <color theme="1"/>
        <rFont val="Calibri"/>
        <family val="2"/>
        <scheme val="minor"/>
      </rPr>
      <t xml:space="preserve"> : p ＞ 0.50</t>
    </r>
  </si>
  <si>
    <t>p-value</t>
  </si>
  <si>
    <t>Bin Width</t>
  </si>
  <si>
    <t>Bin</t>
  </si>
  <si>
    <t>Frequency</t>
  </si>
  <si>
    <r>
      <t xml:space="preserve">GDP </t>
    </r>
    <r>
      <rPr>
        <b/>
        <sz val="14"/>
        <color theme="1"/>
        <rFont val="Calibri"/>
        <family val="2"/>
        <scheme val="minor"/>
      </rPr>
      <t>per capita</t>
    </r>
  </si>
  <si>
    <t>Bin width</t>
  </si>
  <si>
    <t>$1,060 - $3889</t>
  </si>
  <si>
    <t>$3,958 - $6220</t>
  </si>
  <si>
    <t>$10,756 - $17767</t>
  </si>
  <si>
    <t>$24,497 - $46184</t>
  </si>
  <si>
    <t>$49,031 - $86,781</t>
  </si>
  <si>
    <t>0.3 - 27.7</t>
  </si>
  <si>
    <t>31.6 - 34.2</t>
  </si>
  <si>
    <t>35.6 - 43.5</t>
  </si>
  <si>
    <t>44.7 - 52.1</t>
  </si>
  <si>
    <t>53.3 - 53.9</t>
  </si>
  <si>
    <r>
      <t xml:space="preserve">GDP </t>
    </r>
    <r>
      <rPr>
        <b/>
        <sz val="12"/>
        <color theme="1"/>
        <rFont val="Calibri"/>
        <family val="2"/>
        <scheme val="minor"/>
      </rPr>
      <t>per capita</t>
    </r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</si>
  <si>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</si>
  <si>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</si>
  <si>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</si>
  <si>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</si>
  <si>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</si>
  <si>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</si>
  <si>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</si>
  <si>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</si>
  <si>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</si>
  <si>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</si>
  <si>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</si>
  <si>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</si>
  <si>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</si>
  <si>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</si>
  <si>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</si>
  <si>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</si>
  <si>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</si>
  <si>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</si>
  <si>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</si>
  <si>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</si>
  <si>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</si>
  <si>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Table of Contents</t>
  </si>
  <si>
    <t>Sheet 1</t>
  </si>
  <si>
    <t>Sheet 2</t>
  </si>
  <si>
    <t>Sheet 3</t>
  </si>
  <si>
    <t>Sheet 4</t>
  </si>
  <si>
    <t>Sheet 5</t>
  </si>
  <si>
    <t>Sheet 6</t>
  </si>
  <si>
    <t>Sheet 7</t>
  </si>
  <si>
    <t>Sheet 8</t>
  </si>
  <si>
    <t>Sheet 9</t>
  </si>
  <si>
    <t>Sheet 10</t>
  </si>
  <si>
    <t>Sheet 11</t>
  </si>
  <si>
    <t>Sheet Number</t>
  </si>
  <si>
    <t>Description</t>
  </si>
  <si>
    <t>GDP per Capita Histogram</t>
  </si>
  <si>
    <t>Gini Index Histogram</t>
  </si>
  <si>
    <t>Predominant Religion Pie Chart</t>
  </si>
  <si>
    <t>GDP Spent on Education (%) vs. GDP per Capita ($) Scatterplot</t>
  </si>
  <si>
    <t>Infant Mortality vs. Female Literacy (%) Scatterplot</t>
  </si>
  <si>
    <t>Confidence Interval for the World's Mean GDP per Capita and Mean GDP Spent on Education</t>
  </si>
  <si>
    <t>Significance Test for Christianity Being the Predominant Religion in the World at 𝛼 = 0.05 and 𝛼 = 0.10</t>
  </si>
  <si>
    <t>Regression Line for Infant Mortality vs. Female Literacy (%) Scatterplot</t>
  </si>
  <si>
    <t>Correlation Coefficient and Coefficient of Determination for the Infant Mortality vs. Female Literacy (%) Scatterplot</t>
  </si>
  <si>
    <t>90% Confidence Interval Estimate for 𝜷1</t>
  </si>
  <si>
    <t>Average for all Countries and Predicted Mortality Rate for an Individual Country When Female Literacy Rate = 0.75 (90% Confidence)</t>
  </si>
  <si>
    <t>All Data for 37 Randomly Selected Countries out of 243 Total Countries</t>
  </si>
  <si>
    <r>
      <t>Hypothesis Test that 𝜷</t>
    </r>
    <r>
      <rPr>
        <sz val="18"/>
        <color theme="1"/>
        <rFont val="Calibri (Body)"/>
      </rPr>
      <t xml:space="preserve">1 = 0 (Using Regression Analysis from </t>
    </r>
    <r>
      <rPr>
        <sz val="18"/>
        <color theme="1"/>
        <rFont val="Calibri"/>
        <family val="2"/>
        <scheme val="minor"/>
      </rPr>
      <t>Infant Mortality vs. Female Literacy (%) Scatterplot)</t>
    </r>
  </si>
  <si>
    <t>Infant mortality rate as total deaths</t>
  </si>
  <si>
    <t>Lower 90.0%</t>
  </si>
  <si>
    <t>Upper 90.0%</t>
  </si>
  <si>
    <t>Catholic/Roman Catholic</t>
  </si>
  <si>
    <t>Female Literacy Rate - 75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</si>
</sst>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.00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 (Body)"/>
    </font>
    <font>
      <b/>
      <sz val="14"/>
      <color theme="1"/>
      <name val="Calibri"/>
      <family val="2"/>
      <scheme val="minor"/>
    </font>
    <font>
      <sz val="12"/>
      <color theme="1"/>
      <name val="Calibri (Body)"/>
    </font>
    <font>
      <b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Calibri (Body)"/>
    </font>
    <font>
      <b/>
      <sz val="18"/>
      <color theme="1"/>
      <name val="Calibri"/>
      <family val="2"/>
      <scheme val="minor"/>
    </font>
    <font>
      <sz val="16"/>
      <color theme="1"/>
      <name val="Calibri (Body)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6" fontId="0" fillId="0" borderId="0" xfId="0" applyNumberFormat="1"/>
    <xf numFmtId="10" fontId="0" fillId="0" borderId="0" xfId="0" applyNumberFormat="1"/>
    <xf numFmtId="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2" xfId="0" applyFont="1" applyBorder="1" applyAlignment="1">
      <alignment horizontal="center"/>
    </xf>
    <xf numFmtId="6" fontId="3" fillId="0" borderId="0" xfId="0" applyNumberFormat="1" applyFont="1"/>
    <xf numFmtId="0" fontId="3" fillId="0" borderId="1" xfId="0" applyFont="1" applyBorder="1"/>
    <xf numFmtId="10" fontId="3" fillId="0" borderId="0" xfId="0" applyNumberFormat="1" applyFont="1"/>
    <xf numFmtId="9" fontId="3" fillId="0" borderId="0" xfId="0" applyNumberFormat="1" applyFont="1"/>
    <xf numFmtId="0" fontId="8" fillId="0" borderId="2" xfId="0" applyFont="1" applyBorder="1" applyAlignment="1">
      <alignment horizontal="centerContinuous"/>
    </xf>
    <xf numFmtId="0" fontId="1" fillId="0" borderId="0" xfId="0" applyFont="1"/>
    <xf numFmtId="0" fontId="1" fillId="0" borderId="3" xfId="0" applyFont="1" applyBorder="1"/>
    <xf numFmtId="0" fontId="9" fillId="0" borderId="2" xfId="0" applyFont="1" applyBorder="1" applyAlignment="1">
      <alignment horizontal="centerContinuous"/>
    </xf>
    <xf numFmtId="0" fontId="10" fillId="0" borderId="2" xfId="0" applyFont="1" applyBorder="1" applyAlignment="1">
      <alignment horizontal="centerContinuous"/>
    </xf>
    <xf numFmtId="6" fontId="1" fillId="0" borderId="3" xfId="0" applyNumberFormat="1" applyFont="1" applyBorder="1"/>
    <xf numFmtId="165" fontId="1" fillId="0" borderId="0" xfId="0" applyNumberFormat="1" applyFont="1"/>
    <xf numFmtId="0" fontId="1" fillId="0" borderId="1" xfId="0" applyFont="1" applyBorder="1"/>
    <xf numFmtId="6" fontId="1" fillId="0" borderId="0" xfId="0" applyNumberFormat="1" applyFont="1"/>
    <xf numFmtId="10" fontId="1" fillId="0" borderId="3" xfId="0" applyNumberFormat="1" applyFont="1" applyBorder="1"/>
    <xf numFmtId="9" fontId="1" fillId="0" borderId="3" xfId="0" applyNumberFormat="1" applyFont="1" applyBorder="1"/>
    <xf numFmtId="10" fontId="1" fillId="0" borderId="0" xfId="0" applyNumberFormat="1" applyFont="1"/>
    <xf numFmtId="0" fontId="1" fillId="2" borderId="0" xfId="0" applyFont="1" applyFill="1"/>
    <xf numFmtId="164" fontId="1" fillId="2" borderId="0" xfId="0" applyNumberFormat="1" applyFont="1" applyFill="1"/>
    <xf numFmtId="10" fontId="1" fillId="2" borderId="0" xfId="0" applyNumberFormat="1" applyFont="1" applyFill="1"/>
    <xf numFmtId="0" fontId="3" fillId="3" borderId="0" xfId="0" applyFont="1" applyFill="1"/>
    <xf numFmtId="0" fontId="11" fillId="0" borderId="5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4" borderId="0" xfId="0" applyFont="1" applyFill="1"/>
    <xf numFmtId="0" fontId="3" fillId="3" borderId="1" xfId="0" applyFont="1" applyFill="1" applyBorder="1"/>
    <xf numFmtId="0" fontId="14" fillId="0" borderId="0" xfId="0" applyFont="1"/>
    <xf numFmtId="0" fontId="3" fillId="5" borderId="0" xfId="0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GDP per Capita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ln w="28575"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23C-A147-A73F-B4A5A1951033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/>
              </a:solidFill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23C-A147-A73F-B4A5A1951033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723C-A147-A73F-B4A5A1951033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723C-A147-A73F-B4A5A1951033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723C-A147-A73F-B4A5A1951033}"/>
              </c:ext>
            </c:extLst>
          </c:dPt>
          <c:cat>
            <c:strRef>
              <c:f>Sheet2!$F$2:$F$6</c:f>
              <c:strCache>
                <c:ptCount val="5"/>
                <c:pt idx="0">
                  <c:v>$1,060 - $3889</c:v>
                </c:pt>
                <c:pt idx="1">
                  <c:v>$3,958 - $6220</c:v>
                </c:pt>
                <c:pt idx="2">
                  <c:v>$10,756 - $17767</c:v>
                </c:pt>
                <c:pt idx="3">
                  <c:v>$24,497 - $46184</c:v>
                </c:pt>
                <c:pt idx="4">
                  <c:v>$49,031 - $86,781</c:v>
                </c:pt>
              </c:strCache>
            </c:strRef>
          </c:cat>
          <c:val>
            <c:numRef>
              <c:f>Sheet2!$G$2:$G$6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3C-A147-A73F-B4A5A1951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67896480"/>
        <c:axId val="267792336"/>
      </c:barChart>
      <c:catAx>
        <c:axId val="26789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GDP per 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267792336"/>
        <c:crosses val="autoZero"/>
        <c:auto val="1"/>
        <c:lblAlgn val="ctr"/>
        <c:lblOffset val="100"/>
        <c:noMultiLvlLbl val="0"/>
      </c:catAx>
      <c:valAx>
        <c:axId val="267792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Number of Countries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267896480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>
                <a:solidFill>
                  <a:schemeClr val="bg1"/>
                </a:solidFill>
              </a:defRPr>
            </a:pPr>
            <a:r>
              <a:rPr lang="en-US" sz="2000">
                <a:solidFill>
                  <a:schemeClr val="bg1"/>
                </a:solidFill>
              </a:rPr>
              <a:t>Gini Index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ln w="28575">
              <a:solidFill>
                <a:schemeClr val="bg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 w="28575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4E6-F044-A5F7-1D098365B20D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 w="28575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C4E6-F044-A5F7-1D098365B20D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 w="28575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C4E6-F044-A5F7-1D098365B20D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 w="28575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C4E6-F044-A5F7-1D098365B20D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 w="28575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C4E6-F044-A5F7-1D098365B20D}"/>
              </c:ext>
            </c:extLst>
          </c:dPt>
          <c:cat>
            <c:strRef>
              <c:f>Sheet3!$F$2:$F$6</c:f>
              <c:strCache>
                <c:ptCount val="5"/>
                <c:pt idx="0">
                  <c:v>0.3 - 27.7</c:v>
                </c:pt>
                <c:pt idx="1">
                  <c:v>31.6 - 34.2</c:v>
                </c:pt>
                <c:pt idx="2">
                  <c:v>35.6 - 43.5</c:v>
                </c:pt>
                <c:pt idx="3">
                  <c:v>44.7 - 52.1</c:v>
                </c:pt>
                <c:pt idx="4">
                  <c:v>53.3 - 53.9</c:v>
                </c:pt>
              </c:strCache>
            </c:strRef>
          </c:cat>
          <c:val>
            <c:numRef>
              <c:f>Sheet3!$G$2:$G$6</c:f>
              <c:numCache>
                <c:formatCode>General</c:formatCode>
                <c:ptCount val="5"/>
                <c:pt idx="0">
                  <c:v>4</c:v>
                </c:pt>
                <c:pt idx="1">
                  <c:v>9</c:v>
                </c:pt>
                <c:pt idx="2">
                  <c:v>7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6-F044-A5F7-1D098365B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37655040"/>
        <c:axId val="265197312"/>
      </c:barChart>
      <c:catAx>
        <c:axId val="237655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00">
                    <a:solidFill>
                      <a:schemeClr val="bg1"/>
                    </a:solidFill>
                  </a:defRPr>
                </a:pPr>
                <a:r>
                  <a:rPr lang="en-US" sz="1800">
                    <a:solidFill>
                      <a:schemeClr val="bg1"/>
                    </a:solidFill>
                  </a:rPr>
                  <a:t>Gini 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bg1"/>
                </a:solidFill>
              </a:defRPr>
            </a:pPr>
            <a:endParaRPr lang="en-US"/>
          </a:p>
        </c:txPr>
        <c:crossAx val="265197312"/>
        <c:crosses val="autoZero"/>
        <c:auto val="1"/>
        <c:lblAlgn val="ctr"/>
        <c:lblOffset val="100"/>
        <c:noMultiLvlLbl val="0"/>
      </c:catAx>
      <c:valAx>
        <c:axId val="265197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800">
                    <a:solidFill>
                      <a:schemeClr val="bg1"/>
                    </a:solidFill>
                  </a:defRPr>
                </a:pPr>
                <a:r>
                  <a:rPr lang="en-US" sz="1800">
                    <a:solidFill>
                      <a:schemeClr val="bg1"/>
                    </a:solidFill>
                  </a:rPr>
                  <a:t>Number of Countries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solidFill>
                  <a:schemeClr val="bg1"/>
                </a:solidFill>
              </a:defRPr>
            </a:pPr>
            <a:endParaRPr lang="en-US"/>
          </a:p>
        </c:txPr>
        <c:crossAx val="237655040"/>
        <c:crosses val="autoZero"/>
        <c:crossBetween val="between"/>
      </c:valAx>
      <c:spPr>
        <a:solidFill>
          <a:schemeClr val="tx1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Predominant Religions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53-6446-87A4-B44DA6E1C7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28-814D-9935-54A6A92F07D0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953-6446-87A4-B44DA6E1C7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A28-814D-9935-54A6A92F07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A28-814D-9935-54A6A92F07D0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53-6446-87A4-B44DA6E1C7A3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953-6446-87A4-B44DA6E1C7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953-6446-87A4-B44DA6E1C7A3}"/>
              </c:ext>
            </c:extLst>
          </c:dPt>
          <c:dPt>
            <c:idx val="8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A28-814D-9935-54A6A92F07D0}"/>
              </c:ext>
            </c:extLst>
          </c:dPt>
          <c:dPt>
            <c:idx val="9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953-6446-87A4-B44DA6E1C7A3}"/>
              </c:ext>
            </c:extLst>
          </c:dPt>
          <c:cat>
            <c:strRef>
              <c:f>Sheet4!$A$2:$A$11</c:f>
              <c:strCache>
                <c:ptCount val="9"/>
                <c:pt idx="0">
                  <c:v>Christian</c:v>
                </c:pt>
                <c:pt idx="1">
                  <c:v>Sunni</c:v>
                </c:pt>
                <c:pt idx="2">
                  <c:v>Muslim</c:v>
                </c:pt>
                <c:pt idx="3">
                  <c:v>Protestant</c:v>
                </c:pt>
                <c:pt idx="4">
                  <c:v>Aminist</c:v>
                </c:pt>
                <c:pt idx="5">
                  <c:v>Catholic/Roman Catholic</c:v>
                </c:pt>
                <c:pt idx="6">
                  <c:v>Lutheran</c:v>
                </c:pt>
                <c:pt idx="7">
                  <c:v>Sunni Muslim</c:v>
                </c:pt>
                <c:pt idx="8">
                  <c:v>Buddhust</c:v>
                </c:pt>
              </c:strCache>
            </c:strRef>
          </c:cat>
          <c:val>
            <c:numRef>
              <c:f>Sheet4!$B$2:$B$11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1</c:v>
                </c:pt>
                <c:pt idx="5">
                  <c:v>7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3-6446-87A4-B44DA6E1C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4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rgbClr val="FF0000"/>
                </a:solidFill>
              </a:rPr>
              <a:t>GDP Spent on</a:t>
            </a:r>
            <a:r>
              <a:rPr lang="en-US" sz="2000" baseline="0">
                <a:solidFill>
                  <a:srgbClr val="FF0000"/>
                </a:solidFill>
              </a:rPr>
              <a:t> Education vs. GDP per Capita</a:t>
            </a:r>
            <a:endParaRPr lang="en-US" sz="2000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Sheet5!$B$2:$B$22</c:f>
              <c:numCache>
                <c:formatCode>"$"#,##0_);[Red]\("$"#,##0\)</c:formatCode>
                <c:ptCount val="21"/>
                <c:pt idx="0">
                  <c:v>4754</c:v>
                </c:pt>
                <c:pt idx="1">
                  <c:v>1600</c:v>
                </c:pt>
                <c:pt idx="2">
                  <c:v>4389</c:v>
                </c:pt>
                <c:pt idx="3">
                  <c:v>3287</c:v>
                </c:pt>
                <c:pt idx="4">
                  <c:v>86781</c:v>
                </c:pt>
                <c:pt idx="5">
                  <c:v>11812</c:v>
                </c:pt>
                <c:pt idx="6">
                  <c:v>32730</c:v>
                </c:pt>
                <c:pt idx="7">
                  <c:v>5413</c:v>
                </c:pt>
                <c:pt idx="8">
                  <c:v>30898</c:v>
                </c:pt>
                <c:pt idx="9">
                  <c:v>1060</c:v>
                </c:pt>
                <c:pt idx="10">
                  <c:v>24497</c:v>
                </c:pt>
                <c:pt idx="11">
                  <c:v>49031</c:v>
                </c:pt>
                <c:pt idx="12">
                  <c:v>6220</c:v>
                </c:pt>
                <c:pt idx="13">
                  <c:v>6220</c:v>
                </c:pt>
                <c:pt idx="14">
                  <c:v>1597</c:v>
                </c:pt>
                <c:pt idx="15">
                  <c:v>46184</c:v>
                </c:pt>
                <c:pt idx="16">
                  <c:v>5253</c:v>
                </c:pt>
                <c:pt idx="17">
                  <c:v>5728</c:v>
                </c:pt>
                <c:pt idx="18">
                  <c:v>14652</c:v>
                </c:pt>
                <c:pt idx="19">
                  <c:v>10756</c:v>
                </c:pt>
                <c:pt idx="20">
                  <c:v>2663</c:v>
                </c:pt>
              </c:numCache>
            </c:numRef>
          </c:xVal>
          <c:yVal>
            <c:numRef>
              <c:f>Sheet5!$C$2:$C$22</c:f>
              <c:numCache>
                <c:formatCode>0.00%</c:formatCode>
                <c:ptCount val="21"/>
                <c:pt idx="0">
                  <c:v>1.2999999999999999E-2</c:v>
                </c:pt>
                <c:pt idx="1">
                  <c:v>1.4999999999999999E-2</c:v>
                </c:pt>
                <c:pt idx="2">
                  <c:v>2.1999999999999999E-2</c:v>
                </c:pt>
                <c:pt idx="3">
                  <c:v>2.9000000000000001E-2</c:v>
                </c:pt>
                <c:pt idx="4">
                  <c:v>3.5000000000000003E-2</c:v>
                </c:pt>
                <c:pt idx="5">
                  <c:v>3.5999999999999997E-2</c:v>
                </c:pt>
                <c:pt idx="6">
                  <c:v>3.9E-2</c:v>
                </c:pt>
                <c:pt idx="7" formatCode="0%">
                  <c:v>0.04</c:v>
                </c:pt>
                <c:pt idx="8">
                  <c:v>4.3999999999999997E-2</c:v>
                </c:pt>
                <c:pt idx="9">
                  <c:v>4.7E-2</c:v>
                </c:pt>
                <c:pt idx="10">
                  <c:v>4.9000000000000002E-2</c:v>
                </c:pt>
                <c:pt idx="11">
                  <c:v>5.2999999999999999E-2</c:v>
                </c:pt>
                <c:pt idx="12">
                  <c:v>5.2999999999999999E-2</c:v>
                </c:pt>
                <c:pt idx="13">
                  <c:v>5.2999999999999999E-2</c:v>
                </c:pt>
                <c:pt idx="14">
                  <c:v>5.3999999999999999E-2</c:v>
                </c:pt>
                <c:pt idx="15">
                  <c:v>5.5E-2</c:v>
                </c:pt>
                <c:pt idx="16" formatCode="0%">
                  <c:v>0.06</c:v>
                </c:pt>
                <c:pt idx="17">
                  <c:v>6.0999999999999999E-2</c:v>
                </c:pt>
                <c:pt idx="18">
                  <c:v>6.3E-2</c:v>
                </c:pt>
                <c:pt idx="19">
                  <c:v>6.6000000000000003E-2</c:v>
                </c:pt>
                <c:pt idx="20">
                  <c:v>9.9000000000000005E-2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3E-5F49-B1B2-BAD340D60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469616"/>
        <c:axId val="1330473328"/>
      </c:scatterChart>
      <c:valAx>
        <c:axId val="1330469616"/>
        <c:scaling>
          <c:orientation val="minMax"/>
          <c:max val="9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>
                    <a:solidFill>
                      <a:srgbClr val="FF0000"/>
                    </a:solidFill>
                  </a:rPr>
                  <a:t>GDP per Capita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473328"/>
        <c:crosses val="autoZero"/>
        <c:crossBetween val="midCat"/>
        <c:majorUnit val="10000"/>
        <c:minorUnit val="2000"/>
      </c:valAx>
      <c:valAx>
        <c:axId val="133047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>
                    <a:solidFill>
                      <a:srgbClr val="FF0000"/>
                    </a:solidFill>
                  </a:rPr>
                  <a:t>GDP Spent on Education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46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accent2">
                    <a:lumMod val="75000"/>
                  </a:schemeClr>
                </a:solidFill>
              </a:rPr>
              <a:t>Infant Mortality Rate vs. Female Literacy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Sheet6!$B$2:$B$31</c:f>
              <c:numCache>
                <c:formatCode>0.00%</c:formatCode>
                <c:ptCount val="30"/>
                <c:pt idx="0">
                  <c:v>0.999</c:v>
                </c:pt>
                <c:pt idx="1">
                  <c:v>0.995</c:v>
                </c:pt>
                <c:pt idx="2" formatCode="0%">
                  <c:v>0.99</c:v>
                </c:pt>
                <c:pt idx="3" formatCode="0%">
                  <c:v>0.99</c:v>
                </c:pt>
                <c:pt idx="4" formatCode="0%">
                  <c:v>0.99</c:v>
                </c:pt>
                <c:pt idx="5" formatCode="0%">
                  <c:v>0.99</c:v>
                </c:pt>
                <c:pt idx="6" formatCode="0%">
                  <c:v>0.99</c:v>
                </c:pt>
                <c:pt idx="7" formatCode="0%">
                  <c:v>0.99</c:v>
                </c:pt>
                <c:pt idx="8" formatCode="0%">
                  <c:v>0.99</c:v>
                </c:pt>
                <c:pt idx="9" formatCode="0%">
                  <c:v>0.99</c:v>
                </c:pt>
                <c:pt idx="10">
                  <c:v>0.98199999999999998</c:v>
                </c:pt>
                <c:pt idx="11">
                  <c:v>0.95799999999999996</c:v>
                </c:pt>
                <c:pt idx="12">
                  <c:v>0.95699999999999996</c:v>
                </c:pt>
                <c:pt idx="13">
                  <c:v>0.95699999999999996</c:v>
                </c:pt>
                <c:pt idx="14" formatCode="0%">
                  <c:v>0.94</c:v>
                </c:pt>
                <c:pt idx="15">
                  <c:v>0.93400000000000005</c:v>
                </c:pt>
                <c:pt idx="16">
                  <c:v>0.88900000000000001</c:v>
                </c:pt>
                <c:pt idx="17">
                  <c:v>0.873</c:v>
                </c:pt>
                <c:pt idx="18">
                  <c:v>0.85599999999999998</c:v>
                </c:pt>
                <c:pt idx="19">
                  <c:v>0.753</c:v>
                </c:pt>
                <c:pt idx="20" formatCode="0%">
                  <c:v>0.75</c:v>
                </c:pt>
                <c:pt idx="21">
                  <c:v>0.74199999999999999</c:v>
                </c:pt>
                <c:pt idx="22">
                  <c:v>0.71399999999999997</c:v>
                </c:pt>
                <c:pt idx="23">
                  <c:v>0.71199999999999997</c:v>
                </c:pt>
                <c:pt idx="24">
                  <c:v>0.56100000000000005</c:v>
                </c:pt>
                <c:pt idx="25">
                  <c:v>0.55200000000000005</c:v>
                </c:pt>
                <c:pt idx="26" formatCode="0%">
                  <c:v>0.55000000000000004</c:v>
                </c:pt>
                <c:pt idx="27">
                  <c:v>0.51200000000000001</c:v>
                </c:pt>
                <c:pt idx="28">
                  <c:v>0.311</c:v>
                </c:pt>
                <c:pt idx="29">
                  <c:v>0.28899999999999998</c:v>
                </c:pt>
              </c:numCache>
            </c:numRef>
          </c:xVal>
          <c:yVal>
            <c:numRef>
              <c:f>Sheet6!$C$2:$C$31</c:f>
              <c:numCache>
                <c:formatCode>General</c:formatCode>
                <c:ptCount val="30"/>
                <c:pt idx="0">
                  <c:v>4.9300000000000004E-3</c:v>
                </c:pt>
                <c:pt idx="1">
                  <c:v>2.6259999999999999E-2</c:v>
                </c:pt>
                <c:pt idx="2">
                  <c:v>7.8399999999999997E-3</c:v>
                </c:pt>
                <c:pt idx="3">
                  <c:v>4.4400000000000004E-3</c:v>
                </c:pt>
                <c:pt idx="4">
                  <c:v>2.052E-2</c:v>
                </c:pt>
                <c:pt idx="5">
                  <c:v>4.8999999999999998E-3</c:v>
                </c:pt>
                <c:pt idx="6">
                  <c:v>3.5200000000000001E-3</c:v>
                </c:pt>
                <c:pt idx="7">
                  <c:v>3.9399999999999999E-3</c:v>
                </c:pt>
                <c:pt idx="8">
                  <c:v>8.0499999999999999E-3</c:v>
                </c:pt>
                <c:pt idx="9">
                  <c:v>3.1900000000000001E-3</c:v>
                </c:pt>
                <c:pt idx="10">
                  <c:v>2.2200000000000001E-2</c:v>
                </c:pt>
                <c:pt idx="11">
                  <c:v>5.2500000000000003E-3</c:v>
                </c:pt>
                <c:pt idx="12">
                  <c:v>1.5679999999999999E-2</c:v>
                </c:pt>
                <c:pt idx="13">
                  <c:v>1.5599999999999999E-2</c:v>
                </c:pt>
                <c:pt idx="14">
                  <c:v>2.0160000000000001E-2</c:v>
                </c:pt>
                <c:pt idx="15">
                  <c:v>1.8370000000000001E-2</c:v>
                </c:pt>
                <c:pt idx="16">
                  <c:v>2.597E-2</c:v>
                </c:pt>
                <c:pt idx="17">
                  <c:v>1.5389999999999999E-2</c:v>
                </c:pt>
                <c:pt idx="18">
                  <c:v>1.1480000000000001E-2</c:v>
                </c:pt>
                <c:pt idx="19">
                  <c:v>2.0230000000000001E-2</c:v>
                </c:pt>
                <c:pt idx="20">
                  <c:v>4.5620000000000001E-2</c:v>
                </c:pt>
                <c:pt idx="21">
                  <c:v>1.2160000000000001E-2</c:v>
                </c:pt>
                <c:pt idx="22">
                  <c:v>3.3329999999999999E-2</c:v>
                </c:pt>
                <c:pt idx="23">
                  <c:v>3.1130000000000001E-2</c:v>
                </c:pt>
                <c:pt idx="24">
                  <c:v>4.3150000000000001E-2</c:v>
                </c:pt>
                <c:pt idx="25">
                  <c:v>3.4189999999999998E-2</c:v>
                </c:pt>
                <c:pt idx="26">
                  <c:v>4.7559999999999998E-2</c:v>
                </c:pt>
                <c:pt idx="27">
                  <c:v>4.2639999999999997E-2</c:v>
                </c:pt>
                <c:pt idx="28">
                  <c:v>5.7230000000000003E-2</c:v>
                </c:pt>
                <c:pt idx="29">
                  <c:v>6.4769999999999994E-2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DB-864C-A5B0-29B0A5112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997168"/>
        <c:axId val="1329378496"/>
      </c:scatterChart>
      <c:valAx>
        <c:axId val="13289971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accent2">
                        <a:lumMod val="75000"/>
                      </a:schemeClr>
                    </a:solidFill>
                  </a:rPr>
                  <a:t>Female Literacy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78496"/>
        <c:crosses val="autoZero"/>
        <c:crossBetween val="midCat"/>
        <c:majorUnit val="0.2"/>
      </c:valAx>
      <c:valAx>
        <c:axId val="132937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accent2">
                        <a:lumMod val="75000"/>
                      </a:schemeClr>
                    </a:solidFill>
                  </a:rPr>
                  <a:t>Infant Mortality Rate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99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>
                <a:solidFill>
                  <a:srgbClr val="7030A0"/>
                </a:solidFill>
              </a:rPr>
              <a:t>Infant Mortality Rate vs. Female Literacy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960041052560735"/>
                  <c:y val="-0.290439195100612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Sheet9!$B$2:$B$31</c:f>
              <c:numCache>
                <c:formatCode>General</c:formatCode>
                <c:ptCount val="30"/>
                <c:pt idx="0">
                  <c:v>99.9</c:v>
                </c:pt>
                <c:pt idx="1">
                  <c:v>99.5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98.2</c:v>
                </c:pt>
                <c:pt idx="11">
                  <c:v>95.8</c:v>
                </c:pt>
                <c:pt idx="12">
                  <c:v>95.7</c:v>
                </c:pt>
                <c:pt idx="13">
                  <c:v>95.7</c:v>
                </c:pt>
                <c:pt idx="14">
                  <c:v>94</c:v>
                </c:pt>
                <c:pt idx="15">
                  <c:v>93.4</c:v>
                </c:pt>
                <c:pt idx="16">
                  <c:v>88.9</c:v>
                </c:pt>
                <c:pt idx="17">
                  <c:v>87.3</c:v>
                </c:pt>
                <c:pt idx="18">
                  <c:v>85.6</c:v>
                </c:pt>
                <c:pt idx="19">
                  <c:v>75.3</c:v>
                </c:pt>
                <c:pt idx="20">
                  <c:v>75</c:v>
                </c:pt>
                <c:pt idx="21">
                  <c:v>74.2</c:v>
                </c:pt>
                <c:pt idx="22">
                  <c:v>71.400000000000006</c:v>
                </c:pt>
                <c:pt idx="23">
                  <c:v>71.2</c:v>
                </c:pt>
                <c:pt idx="24">
                  <c:v>56.1</c:v>
                </c:pt>
                <c:pt idx="25">
                  <c:v>55.2</c:v>
                </c:pt>
                <c:pt idx="26">
                  <c:v>55</c:v>
                </c:pt>
                <c:pt idx="27">
                  <c:v>51.2</c:v>
                </c:pt>
                <c:pt idx="28">
                  <c:v>31.1</c:v>
                </c:pt>
                <c:pt idx="29">
                  <c:v>28.9</c:v>
                </c:pt>
              </c:numCache>
            </c:numRef>
          </c:xVal>
          <c:yVal>
            <c:numRef>
              <c:f>Sheet9!$C$2:$C$31</c:f>
              <c:numCache>
                <c:formatCode>General</c:formatCode>
                <c:ptCount val="30"/>
                <c:pt idx="0">
                  <c:v>4.93</c:v>
                </c:pt>
                <c:pt idx="1">
                  <c:v>26.26</c:v>
                </c:pt>
                <c:pt idx="2">
                  <c:v>7.84</c:v>
                </c:pt>
                <c:pt idx="3">
                  <c:v>4.4400000000000004</c:v>
                </c:pt>
                <c:pt idx="4">
                  <c:v>20.52</c:v>
                </c:pt>
                <c:pt idx="5">
                  <c:v>4.9000000000000004</c:v>
                </c:pt>
                <c:pt idx="6">
                  <c:v>3.52</c:v>
                </c:pt>
                <c:pt idx="7">
                  <c:v>3.94</c:v>
                </c:pt>
                <c:pt idx="8">
                  <c:v>8.0500000000000007</c:v>
                </c:pt>
                <c:pt idx="9">
                  <c:v>3.19</c:v>
                </c:pt>
                <c:pt idx="10">
                  <c:v>22.2</c:v>
                </c:pt>
                <c:pt idx="11">
                  <c:v>5.25</c:v>
                </c:pt>
                <c:pt idx="12">
                  <c:v>15.68</c:v>
                </c:pt>
                <c:pt idx="13">
                  <c:v>15.6</c:v>
                </c:pt>
                <c:pt idx="14">
                  <c:v>20.16</c:v>
                </c:pt>
                <c:pt idx="15">
                  <c:v>18.37</c:v>
                </c:pt>
                <c:pt idx="16">
                  <c:v>25.97</c:v>
                </c:pt>
                <c:pt idx="17">
                  <c:v>15.39</c:v>
                </c:pt>
                <c:pt idx="18">
                  <c:v>11.48</c:v>
                </c:pt>
                <c:pt idx="19">
                  <c:v>20.23</c:v>
                </c:pt>
                <c:pt idx="20">
                  <c:v>45.62</c:v>
                </c:pt>
                <c:pt idx="21">
                  <c:v>12.16</c:v>
                </c:pt>
                <c:pt idx="22">
                  <c:v>33.33</c:v>
                </c:pt>
                <c:pt idx="23">
                  <c:v>31.13</c:v>
                </c:pt>
                <c:pt idx="24">
                  <c:v>43.15</c:v>
                </c:pt>
                <c:pt idx="25">
                  <c:v>34.19</c:v>
                </c:pt>
                <c:pt idx="26">
                  <c:v>47.56</c:v>
                </c:pt>
                <c:pt idx="27">
                  <c:v>42.64</c:v>
                </c:pt>
                <c:pt idx="28">
                  <c:v>57.23</c:v>
                </c:pt>
                <c:pt idx="29">
                  <c:v>64.77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E7-2748-AB9E-98CDEB977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84864"/>
        <c:axId val="267807920"/>
      </c:scatterChart>
      <c:valAx>
        <c:axId val="26778486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rgbClr val="7030A0"/>
                    </a:solidFill>
                  </a:rPr>
                  <a:t>Female Literacy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07920"/>
        <c:crosses val="autoZero"/>
        <c:crossBetween val="midCat"/>
      </c:valAx>
      <c:valAx>
        <c:axId val="26780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rgbClr val="7030A0"/>
                    </a:solidFill>
                  </a:rPr>
                  <a:t>Infant Mortality Rate (per 1000 live births)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784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>
                <a:solidFill>
                  <a:srgbClr val="7030A0"/>
                </a:solidFill>
              </a:rPr>
              <a:t>Infant Mortality Rate vs. Female Literacy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960041052560735"/>
                  <c:y val="-0.290439195100612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Sheet9!$B$2:$B$31</c:f>
              <c:numCache>
                <c:formatCode>General</c:formatCode>
                <c:ptCount val="30"/>
                <c:pt idx="0">
                  <c:v>99.9</c:v>
                </c:pt>
                <c:pt idx="1">
                  <c:v>99.5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98.2</c:v>
                </c:pt>
                <c:pt idx="11">
                  <c:v>95.8</c:v>
                </c:pt>
                <c:pt idx="12">
                  <c:v>95.7</c:v>
                </c:pt>
                <c:pt idx="13">
                  <c:v>95.7</c:v>
                </c:pt>
                <c:pt idx="14">
                  <c:v>94</c:v>
                </c:pt>
                <c:pt idx="15">
                  <c:v>93.4</c:v>
                </c:pt>
                <c:pt idx="16">
                  <c:v>88.9</c:v>
                </c:pt>
                <c:pt idx="17">
                  <c:v>87.3</c:v>
                </c:pt>
                <c:pt idx="18">
                  <c:v>85.6</c:v>
                </c:pt>
                <c:pt idx="19">
                  <c:v>75.3</c:v>
                </c:pt>
                <c:pt idx="20">
                  <c:v>75</c:v>
                </c:pt>
                <c:pt idx="21">
                  <c:v>74.2</c:v>
                </c:pt>
                <c:pt idx="22">
                  <c:v>71.400000000000006</c:v>
                </c:pt>
                <c:pt idx="23">
                  <c:v>71.2</c:v>
                </c:pt>
                <c:pt idx="24">
                  <c:v>56.1</c:v>
                </c:pt>
                <c:pt idx="25">
                  <c:v>55.2</c:v>
                </c:pt>
                <c:pt idx="26">
                  <c:v>55</c:v>
                </c:pt>
                <c:pt idx="27">
                  <c:v>51.2</c:v>
                </c:pt>
                <c:pt idx="28">
                  <c:v>31.1</c:v>
                </c:pt>
                <c:pt idx="29">
                  <c:v>28.9</c:v>
                </c:pt>
              </c:numCache>
            </c:numRef>
          </c:xVal>
          <c:yVal>
            <c:numRef>
              <c:f>Sheet9!$C$2:$C$31</c:f>
              <c:numCache>
                <c:formatCode>General</c:formatCode>
                <c:ptCount val="30"/>
                <c:pt idx="0">
                  <c:v>4.93</c:v>
                </c:pt>
                <c:pt idx="1">
                  <c:v>26.26</c:v>
                </c:pt>
                <c:pt idx="2">
                  <c:v>7.84</c:v>
                </c:pt>
                <c:pt idx="3">
                  <c:v>4.4400000000000004</c:v>
                </c:pt>
                <c:pt idx="4">
                  <c:v>20.52</c:v>
                </c:pt>
                <c:pt idx="5">
                  <c:v>4.9000000000000004</c:v>
                </c:pt>
                <c:pt idx="6">
                  <c:v>3.52</c:v>
                </c:pt>
                <c:pt idx="7">
                  <c:v>3.94</c:v>
                </c:pt>
                <c:pt idx="8">
                  <c:v>8.0500000000000007</c:v>
                </c:pt>
                <c:pt idx="9">
                  <c:v>3.19</c:v>
                </c:pt>
                <c:pt idx="10">
                  <c:v>22.2</c:v>
                </c:pt>
                <c:pt idx="11">
                  <c:v>5.25</c:v>
                </c:pt>
                <c:pt idx="12">
                  <c:v>15.68</c:v>
                </c:pt>
                <c:pt idx="13">
                  <c:v>15.6</c:v>
                </c:pt>
                <c:pt idx="14">
                  <c:v>20.16</c:v>
                </c:pt>
                <c:pt idx="15">
                  <c:v>18.37</c:v>
                </c:pt>
                <c:pt idx="16">
                  <c:v>25.97</c:v>
                </c:pt>
                <c:pt idx="17">
                  <c:v>15.39</c:v>
                </c:pt>
                <c:pt idx="18">
                  <c:v>11.48</c:v>
                </c:pt>
                <c:pt idx="19">
                  <c:v>20.23</c:v>
                </c:pt>
                <c:pt idx="20">
                  <c:v>45.62</c:v>
                </c:pt>
                <c:pt idx="21">
                  <c:v>12.16</c:v>
                </c:pt>
                <c:pt idx="22">
                  <c:v>33.33</c:v>
                </c:pt>
                <c:pt idx="23">
                  <c:v>31.13</c:v>
                </c:pt>
                <c:pt idx="24">
                  <c:v>43.15</c:v>
                </c:pt>
                <c:pt idx="25">
                  <c:v>34.19</c:v>
                </c:pt>
                <c:pt idx="26">
                  <c:v>47.56</c:v>
                </c:pt>
                <c:pt idx="27">
                  <c:v>42.64</c:v>
                </c:pt>
                <c:pt idx="28">
                  <c:v>57.23</c:v>
                </c:pt>
                <c:pt idx="29">
                  <c:v>64.77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80-064A-B011-460EA73C5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84864"/>
        <c:axId val="267807920"/>
      </c:scatterChart>
      <c:valAx>
        <c:axId val="26778486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rgbClr val="7030A0"/>
                    </a:solidFill>
                  </a:rPr>
                  <a:t>Female Literacy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07920"/>
        <c:crosses val="autoZero"/>
        <c:crossBetween val="midCat"/>
      </c:valAx>
      <c:valAx>
        <c:axId val="26780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rgbClr val="7030A0"/>
                    </a:solidFill>
                  </a:rPr>
                  <a:t>Infant Mortality Rate (per 1000 live births)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784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7</xdr:row>
      <xdr:rowOff>25400</xdr:rowOff>
    </xdr:from>
    <xdr:to>
      <xdr:col>12</xdr:col>
      <xdr:colOff>406400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11D48-859B-1844-A825-B9D7F67AD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7</xdr:row>
      <xdr:rowOff>0</xdr:rowOff>
    </xdr:from>
    <xdr:to>
      <xdr:col>12</xdr:col>
      <xdr:colOff>533400</xdr:colOff>
      <xdr:row>28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34F904-5A77-FC44-B3AF-6AE070D2B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4</xdr:row>
      <xdr:rowOff>50800</xdr:rowOff>
    </xdr:from>
    <xdr:to>
      <xdr:col>14</xdr:col>
      <xdr:colOff>787400</xdr:colOff>
      <xdr:row>31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05BA60-55ED-5D4A-A5CC-3B2FDE166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4</xdr:row>
      <xdr:rowOff>171450</xdr:rowOff>
    </xdr:from>
    <xdr:to>
      <xdr:col>13</xdr:col>
      <xdr:colOff>254000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0EB2BC-B832-5741-B4AC-56E37A696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234950</xdr:rowOff>
    </xdr:from>
    <xdr:to>
      <xdr:col>12</xdr:col>
      <xdr:colOff>469900</xdr:colOff>
      <xdr:row>30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149D39-8E87-DA43-89C9-2F755A030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11</xdr:row>
      <xdr:rowOff>139700</xdr:rowOff>
    </xdr:from>
    <xdr:ext cx="4000500" cy="98321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9A4065-FB2D-FC45-A42B-751F438018FE}"/>
            </a:ext>
          </a:extLst>
        </xdr:cNvPr>
        <xdr:cNvSpPr txBox="1"/>
      </xdr:nvSpPr>
      <xdr:spPr>
        <a:xfrm>
          <a:off x="4051300" y="2794000"/>
          <a:ext cx="4000500" cy="983218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/>
            <a:t>At </a:t>
          </a:r>
          <a:r>
            <a:rPr lang="en-US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𝛼 = 0.05:</a:t>
          </a:r>
        </a:p>
        <a:p>
          <a:pPr algn="ctr"/>
          <a:r>
            <a:rPr lang="en-US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Because the p-value =</a:t>
          </a:r>
          <a:r>
            <a:rPr lang="en-US" sz="14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0.5 </a:t>
          </a:r>
          <a:r>
            <a:rPr lang="en-US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which is ＞ 0.05,</a:t>
          </a:r>
          <a:r>
            <a:rPr lang="en-US" sz="14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my data does not support that more than half of the countries in the world are predominantly Christian</a:t>
          </a:r>
          <a:endParaRPr lang="en-US" sz="1400"/>
        </a:p>
      </xdr:txBody>
    </xdr:sp>
    <xdr:clientData/>
  </xdr:oneCellAnchor>
  <xdr:oneCellAnchor>
    <xdr:from>
      <xdr:col>7</xdr:col>
      <xdr:colOff>1394365</xdr:colOff>
      <xdr:row>11</xdr:row>
      <xdr:rowOff>114300</xdr:rowOff>
    </xdr:from>
    <xdr:ext cx="3977735" cy="10160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CAAD31-75D2-1546-9BEC-589F454249E6}"/>
            </a:ext>
          </a:extLst>
        </xdr:cNvPr>
        <xdr:cNvSpPr txBox="1"/>
      </xdr:nvSpPr>
      <xdr:spPr>
        <a:xfrm>
          <a:off x="10436765" y="2768600"/>
          <a:ext cx="3977735" cy="101600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/>
            <a:t>At </a:t>
          </a:r>
          <a:r>
            <a:rPr lang="en-US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𝛼 = 0.10:</a:t>
          </a:r>
        </a:p>
        <a:p>
          <a:pPr algn="ctr"/>
          <a:r>
            <a:rPr lang="en-US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Because the p-value = 0.5 which is ＞ 0.10,</a:t>
          </a:r>
          <a:r>
            <a:rPr lang="en-US" sz="14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my data does not support that more than half of the countries in the world are predominantly Christian</a:t>
          </a:r>
          <a:endParaRPr lang="en-US" sz="1400"/>
        </a:p>
        <a:p>
          <a:endParaRPr 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596900</xdr:colOff>
      <xdr:row>6</xdr:row>
      <xdr:rowOff>101600</xdr:rowOff>
    </xdr:from>
    <xdr:to>
      <xdr:col>10</xdr:col>
      <xdr:colOff>762000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6412CC-517F-E54F-A917-E98F3BB28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1193800</xdr:colOff>
      <xdr:row>1</xdr:row>
      <xdr:rowOff>0</xdr:rowOff>
    </xdr:from>
    <xdr:to>
      <xdr:col>10</xdr:col>
      <xdr:colOff>1117600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59A34F-BCDF-7C44-862A-EC656CA1A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800100</xdr:colOff>
      <xdr:row>20</xdr:row>
      <xdr:rowOff>165100</xdr:rowOff>
    </xdr:from>
    <xdr:ext cx="4856734" cy="11938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1D44A3-5318-3E45-80CB-6D79198FCAAA}"/>
            </a:ext>
          </a:extLst>
        </xdr:cNvPr>
        <xdr:cNvSpPr txBox="1"/>
      </xdr:nvSpPr>
      <xdr:spPr>
        <a:xfrm>
          <a:off x="14490700" y="4991100"/>
          <a:ext cx="4856734" cy="119380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 b="1"/>
            <a:t>4b.</a:t>
          </a:r>
        </a:p>
        <a:p>
          <a:pPr algn="ctr"/>
          <a:r>
            <a:rPr lang="en-US" sz="1600"/>
            <a:t>Correlation Coefficient = -0.88941603 = R</a:t>
          </a:r>
        </a:p>
        <a:p>
          <a:pPr algn="ctr"/>
          <a:r>
            <a:rPr lang="en-US" sz="1600"/>
            <a:t>Coefficient of Determination</a:t>
          </a:r>
          <a:r>
            <a:rPr lang="en-US" sz="1600" baseline="0"/>
            <a:t> = 0.79106088 = </a:t>
          </a:r>
          <a:r>
            <a:rPr lang="en-US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en-US" sz="1600" b="0" i="0" u="none" strike="noStrike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endParaRPr lang="en-US" sz="1600"/>
        </a:p>
      </xdr:txBody>
    </xdr:sp>
    <xdr:clientData/>
  </xdr:oneCellAnchor>
  <xdr:oneCellAnchor>
    <xdr:from>
      <xdr:col>4</xdr:col>
      <xdr:colOff>8879</xdr:colOff>
      <xdr:row>38</xdr:row>
      <xdr:rowOff>12700</xdr:rowOff>
    </xdr:from>
    <xdr:ext cx="6141938" cy="198644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8BB5B6A-9BB9-364A-A618-9D22EA504BC5}"/>
            </a:ext>
          </a:extLst>
        </xdr:cNvPr>
        <xdr:cNvSpPr txBox="1"/>
      </xdr:nvSpPr>
      <xdr:spPr>
        <a:xfrm>
          <a:off x="9305279" y="9258300"/>
          <a:ext cx="6141938" cy="1986441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400" b="1"/>
            <a:t>4c.</a:t>
          </a:r>
        </a:p>
        <a:p>
          <a:r>
            <a:rPr lang="en-US" sz="1600"/>
            <a:t>Ho : 𝜷</a:t>
          </a:r>
          <a:r>
            <a:rPr lang="en-US" sz="1100"/>
            <a:t>1</a:t>
          </a:r>
          <a:r>
            <a:rPr lang="en-US" sz="1600"/>
            <a:t> = 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/>
            <a:t>Ha :  𝜷</a:t>
          </a:r>
          <a:r>
            <a:rPr lang="en-US" sz="1050"/>
            <a:t>1</a:t>
          </a:r>
          <a:r>
            <a:rPr lang="en-US" sz="1600"/>
            <a:t> </a:t>
          </a:r>
          <a:r>
            <a:rPr lang="en-US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≠ </a:t>
          </a:r>
          <a:r>
            <a:rPr lang="en-US" sz="1600"/>
            <a:t>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/>
            <a:t>t</a:t>
          </a:r>
          <a:r>
            <a:rPr lang="en-US" sz="1200"/>
            <a:t>st</a:t>
          </a:r>
          <a:r>
            <a:rPr lang="en-US" sz="1600"/>
            <a:t> =</a:t>
          </a:r>
          <a:r>
            <a:rPr lang="en-US" sz="1600" baseline="0"/>
            <a:t> -10.29613169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𝛼 = 0.05</a:t>
          </a:r>
          <a:endParaRPr lang="en-US" sz="16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aseline="0"/>
            <a:t>p-value = 5.03393E-11</a:t>
          </a:r>
          <a:endParaRPr lang="en-US" sz="16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/>
            <a:t>Because the p-value is less than </a:t>
          </a:r>
          <a:r>
            <a:rPr lang="en-US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𝛼 = 0.05, the null hypothesis is rejected</a:t>
          </a:r>
          <a:endParaRPr lang="en-US" sz="1600" baseline="0"/>
        </a:p>
        <a:p>
          <a:endParaRPr lang="en-US" sz="1100"/>
        </a:p>
      </xdr:txBody>
    </xdr:sp>
    <xdr:clientData/>
  </xdr:oneCellAnchor>
  <xdr:oneCellAnchor>
    <xdr:from>
      <xdr:col>9</xdr:col>
      <xdr:colOff>12700</xdr:colOff>
      <xdr:row>38</xdr:row>
      <xdr:rowOff>12700</xdr:rowOff>
    </xdr:from>
    <xdr:ext cx="6235700" cy="14097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72CCB3-9426-CD42-A438-513DA9CD19AB}"/>
            </a:ext>
          </a:extLst>
        </xdr:cNvPr>
        <xdr:cNvSpPr txBox="1"/>
      </xdr:nvSpPr>
      <xdr:spPr>
        <a:xfrm>
          <a:off x="16598900" y="9258300"/>
          <a:ext cx="6235700" cy="140970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600" b="1"/>
            <a:t>4d.</a:t>
          </a:r>
        </a:p>
        <a:p>
          <a:r>
            <a:rPr lang="en-US" sz="1600"/>
            <a:t>The 90% confidence interval for 𝜷</a:t>
          </a:r>
          <a:r>
            <a:rPr lang="en-US" sz="1100"/>
            <a:t>1</a:t>
          </a:r>
          <a:r>
            <a:rPr lang="en-US" sz="1600"/>
            <a:t>  is (-0.8379, -0.6003)</a:t>
          </a:r>
        </a:p>
        <a:p>
          <a:r>
            <a:rPr lang="en-US" sz="1600"/>
            <a:t>For each 10% increase in female literacy, the expected change in infant mortality is a decrease of</a:t>
          </a:r>
          <a:r>
            <a:rPr lang="en-US" sz="1600" baseline="0"/>
            <a:t> </a:t>
          </a:r>
          <a:r>
            <a:rPr lang="en-US" sz="1600"/>
            <a:t>8.379</a:t>
          </a:r>
          <a:r>
            <a:rPr lang="en-US" sz="1600" baseline="0"/>
            <a:t> to 6.003 deaths per 1000 live births </a:t>
          </a:r>
          <a:r>
            <a:rPr lang="en-US" sz="1600"/>
            <a:t> 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685800</xdr:colOff>
      <xdr:row>19</xdr:row>
      <xdr:rowOff>114300</xdr:rowOff>
    </xdr:from>
    <xdr:ext cx="5778500" cy="226818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D0132FC-7D3B-DF4E-863F-6EF86E9223E0}"/>
            </a:ext>
          </a:extLst>
        </xdr:cNvPr>
        <xdr:cNvSpPr txBox="1"/>
      </xdr:nvSpPr>
      <xdr:spPr>
        <a:xfrm>
          <a:off x="9715500" y="4775200"/>
          <a:ext cx="5778500" cy="2268185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600" b="1"/>
            <a:t>4e:</a:t>
          </a:r>
          <a:r>
            <a:rPr lang="en-US" sz="1600" b="1" baseline="0"/>
            <a:t> Average for all Countries</a:t>
          </a:r>
          <a:endParaRPr lang="en-US" sz="1600" b="1"/>
        </a:p>
        <a:p>
          <a:r>
            <a:rPr lang="en-US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y-hat</a:t>
          </a:r>
          <a:r>
            <a:rPr lang="en-US" sz="16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27.611</a:t>
          </a:r>
        </a:p>
        <a:p>
          <a:r>
            <a:rPr lang="en-US" sz="16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SE(y-hat) =  1.5412</a:t>
          </a:r>
        </a:p>
        <a:p>
          <a:r>
            <a:rPr lang="en-US" sz="16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t.</a:t>
          </a:r>
          <a:r>
            <a:rPr lang="en-US" sz="9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05,28</a:t>
          </a:r>
          <a:r>
            <a:rPr lang="en-US" sz="16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1.701</a:t>
          </a:r>
        </a:p>
        <a:p>
          <a:r>
            <a:rPr lang="en-US" sz="16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Confidence Interval = (24,989, 30.233)</a:t>
          </a:r>
        </a:p>
        <a:p>
          <a:r>
            <a:rPr lang="en-US" sz="16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Average infant mortality of all countries with 75% female literacy is between  24.989 and 30.233 deaths per 1000 live births with 90% confidence</a:t>
          </a:r>
        </a:p>
        <a:p>
          <a:endParaRPr lang="en-US" sz="1100"/>
        </a:p>
      </xdr:txBody>
    </xdr:sp>
    <xdr:clientData/>
  </xdr:oneCellAnchor>
  <xdr:oneCellAnchor>
    <xdr:from>
      <xdr:col>7</xdr:col>
      <xdr:colOff>1676400</xdr:colOff>
      <xdr:row>19</xdr:row>
      <xdr:rowOff>76200</xdr:rowOff>
    </xdr:from>
    <xdr:ext cx="6908800" cy="23241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028ECC-F86E-A14D-94D8-4A3EE596B305}"/>
            </a:ext>
          </a:extLst>
        </xdr:cNvPr>
        <xdr:cNvSpPr txBox="1"/>
      </xdr:nvSpPr>
      <xdr:spPr>
        <a:xfrm>
          <a:off x="16573500" y="4737100"/>
          <a:ext cx="6908800" cy="232410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600" b="1"/>
            <a:t>4e: Individual</a:t>
          </a:r>
          <a:r>
            <a:rPr lang="en-US" sz="1600" b="1" baseline="0"/>
            <a:t> Country Predicted Value</a:t>
          </a:r>
        </a:p>
        <a:p>
          <a:r>
            <a:rPr lang="en-US" sz="1600"/>
            <a:t>SE = 7.959</a:t>
          </a:r>
        </a:p>
        <a:p>
          <a:r>
            <a:rPr lang="en-US" sz="1600"/>
            <a:t>(SE)^2</a:t>
          </a:r>
          <a:r>
            <a:rPr lang="en-US" sz="1600" baseline="0"/>
            <a:t>= 63.346</a:t>
          </a:r>
        </a:p>
        <a:p>
          <a:r>
            <a:rPr lang="en-US" sz="1400" baseline="0"/>
            <a:t>[SE(y-hat)]</a:t>
          </a:r>
          <a:r>
            <a:rPr lang="en-US" sz="1600" baseline="0"/>
            <a:t>^2 = 2.3753</a:t>
          </a:r>
        </a:p>
        <a:p>
          <a:r>
            <a:rPr lang="en-US" sz="1600" baseline="0"/>
            <a:t>Square root sum of the variances = 8.1069 = SE of prediction</a:t>
          </a:r>
        </a:p>
        <a:p>
          <a:r>
            <a:rPr lang="en-US" sz="1600" baseline="0"/>
            <a:t>Confidence Interval = (13.821, 41.4008)</a:t>
          </a:r>
        </a:p>
        <a:p>
          <a:r>
            <a:rPr lang="en-US" sz="1600"/>
            <a:t>For an</a:t>
          </a:r>
          <a:r>
            <a:rPr lang="en-US" sz="1600" baseline="0"/>
            <a:t> individual country with 75% female literacy, the predicted infant mortality rate is between 13.821 and 41.4008 deaths per 1000 live births with 90% confidence </a:t>
          </a:r>
          <a:endParaRPr lang="en-US" sz="1600"/>
        </a:p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4B670-14C8-1449-A22F-060B6B2AE1C5}">
  <dimension ref="A1:B15"/>
  <sheetViews>
    <sheetView workbookViewId="0">
      <selection activeCell="B21" sqref="B21"/>
    </sheetView>
  </sheetViews>
  <sheetFormatPr baseColWidth="10" defaultRowHeight="24" x14ac:dyDescent="0.3"/>
  <cols>
    <col min="1" max="1" width="20.83203125" style="31" customWidth="1"/>
    <col min="2" max="2" width="165.1640625" style="31" customWidth="1"/>
  </cols>
  <sheetData>
    <row r="1" spans="1:2" ht="25" thickBot="1" x14ac:dyDescent="0.35">
      <c r="A1" s="29"/>
      <c r="B1" s="32" t="s">
        <v>361</v>
      </c>
    </row>
    <row r="2" spans="1:2" ht="25" thickBot="1" x14ac:dyDescent="0.35">
      <c r="A2" s="33" t="s">
        <v>373</v>
      </c>
      <c r="B2" s="32" t="s">
        <v>374</v>
      </c>
    </row>
    <row r="3" spans="1:2" x14ac:dyDescent="0.3">
      <c r="A3" s="30" t="s">
        <v>362</v>
      </c>
      <c r="B3" s="31" t="s">
        <v>386</v>
      </c>
    </row>
    <row r="4" spans="1:2" x14ac:dyDescent="0.3">
      <c r="A4" s="30" t="s">
        <v>363</v>
      </c>
      <c r="B4" s="31" t="s">
        <v>375</v>
      </c>
    </row>
    <row r="5" spans="1:2" x14ac:dyDescent="0.3">
      <c r="A5" s="30" t="s">
        <v>364</v>
      </c>
      <c r="B5" s="31" t="s">
        <v>376</v>
      </c>
    </row>
    <row r="6" spans="1:2" x14ac:dyDescent="0.3">
      <c r="A6" s="30" t="s">
        <v>365</v>
      </c>
      <c r="B6" s="31" t="s">
        <v>377</v>
      </c>
    </row>
    <row r="7" spans="1:2" x14ac:dyDescent="0.3">
      <c r="A7" s="30" t="s">
        <v>366</v>
      </c>
      <c r="B7" s="31" t="s">
        <v>378</v>
      </c>
    </row>
    <row r="8" spans="1:2" x14ac:dyDescent="0.3">
      <c r="A8" s="30" t="s">
        <v>367</v>
      </c>
      <c r="B8" s="31" t="s">
        <v>379</v>
      </c>
    </row>
    <row r="9" spans="1:2" x14ac:dyDescent="0.3">
      <c r="A9" s="30" t="s">
        <v>368</v>
      </c>
      <c r="B9" s="31" t="s">
        <v>380</v>
      </c>
    </row>
    <row r="10" spans="1:2" x14ac:dyDescent="0.3">
      <c r="A10" s="30" t="s">
        <v>369</v>
      </c>
      <c r="B10" s="31" t="s">
        <v>381</v>
      </c>
    </row>
    <row r="11" spans="1:2" x14ac:dyDescent="0.3">
      <c r="A11" s="30" t="s">
        <v>370</v>
      </c>
      <c r="B11" s="31" t="s">
        <v>382</v>
      </c>
    </row>
    <row r="12" spans="1:2" x14ac:dyDescent="0.3">
      <c r="A12" s="30" t="s">
        <v>371</v>
      </c>
      <c r="B12" s="31" t="s">
        <v>383</v>
      </c>
    </row>
    <row r="13" spans="1:2" x14ac:dyDescent="0.3">
      <c r="A13" s="30" t="s">
        <v>371</v>
      </c>
      <c r="B13" s="31" t="s">
        <v>387</v>
      </c>
    </row>
    <row r="14" spans="1:2" x14ac:dyDescent="0.3">
      <c r="A14" s="30" t="s">
        <v>371</v>
      </c>
      <c r="B14" s="31" t="s">
        <v>384</v>
      </c>
    </row>
    <row r="15" spans="1:2" x14ac:dyDescent="0.3">
      <c r="A15" s="30" t="s">
        <v>372</v>
      </c>
      <c r="B15" s="31" t="s">
        <v>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5"/>
  <sheetViews>
    <sheetView workbookViewId="0">
      <selection activeCell="H232" sqref="H232"/>
    </sheetView>
  </sheetViews>
  <sheetFormatPr baseColWidth="10" defaultColWidth="8.83203125" defaultRowHeight="15" x14ac:dyDescent="0.2"/>
  <cols>
    <col min="1" max="1" width="12.33203125" customWidth="1"/>
    <col min="2" max="2" width="35.5" customWidth="1"/>
    <col min="5" max="5" width="12.5" customWidth="1"/>
    <col min="6" max="6" width="16.1640625" customWidth="1"/>
    <col min="9" max="9" width="18.6640625" customWidth="1"/>
    <col min="10" max="10" width="22.33203125" customWidth="1"/>
    <col min="11" max="11" width="42.83203125" customWidth="1"/>
    <col min="12" max="12" width="17.1640625" customWidth="1"/>
  </cols>
  <sheetData>
    <row r="1" spans="1:12" x14ac:dyDescent="0.2">
      <c r="A1" t="s">
        <v>244</v>
      </c>
    </row>
    <row r="2" spans="1:12" x14ac:dyDescent="0.2">
      <c r="B2" t="s">
        <v>0</v>
      </c>
      <c r="E2" t="s">
        <v>245</v>
      </c>
      <c r="F2" t="s">
        <v>246</v>
      </c>
      <c r="G2" t="s">
        <v>247</v>
      </c>
      <c r="I2" t="s">
        <v>248</v>
      </c>
      <c r="J2" t="s">
        <v>249</v>
      </c>
      <c r="K2" t="s">
        <v>250</v>
      </c>
      <c r="L2" t="s">
        <v>251</v>
      </c>
    </row>
    <row r="3" spans="1:12" x14ac:dyDescent="0.2">
      <c r="A3" s="1">
        <v>84</v>
      </c>
      <c r="B3" s="1" t="s">
        <v>84</v>
      </c>
      <c r="C3" s="1">
        <v>1.3282044165821794E-2</v>
      </c>
      <c r="D3" s="1">
        <v>1</v>
      </c>
      <c r="E3" s="2">
        <v>5413</v>
      </c>
      <c r="F3" s="3">
        <v>0.11899999999999999</v>
      </c>
      <c r="G3">
        <v>43.5</v>
      </c>
      <c r="I3" s="3">
        <v>0.71399999999999997</v>
      </c>
      <c r="J3" s="4">
        <v>0.04</v>
      </c>
      <c r="K3" t="s">
        <v>253</v>
      </c>
      <c r="L3" t="s">
        <v>252</v>
      </c>
    </row>
    <row r="4" spans="1:12" x14ac:dyDescent="0.2">
      <c r="A4" s="1">
        <v>222</v>
      </c>
      <c r="B4" s="1" t="s">
        <v>222</v>
      </c>
      <c r="C4" s="1">
        <v>1.8845212479093654E-2</v>
      </c>
      <c r="D4" s="1">
        <v>2</v>
      </c>
      <c r="E4" s="2">
        <v>10756</v>
      </c>
      <c r="F4" s="3">
        <v>0.155</v>
      </c>
      <c r="G4">
        <v>32.799999999999997</v>
      </c>
      <c r="I4" s="3">
        <v>0.74199999999999999</v>
      </c>
      <c r="J4" s="3">
        <v>6.6000000000000003E-2</v>
      </c>
      <c r="K4" t="s">
        <v>255</v>
      </c>
      <c r="L4" t="s">
        <v>254</v>
      </c>
    </row>
    <row r="5" spans="1:12" x14ac:dyDescent="0.2">
      <c r="A5" s="1">
        <v>241</v>
      </c>
      <c r="B5" s="1" t="s">
        <v>241</v>
      </c>
      <c r="C5" s="1">
        <v>3.1073077332946286E-2</v>
      </c>
      <c r="D5" s="1">
        <v>3</v>
      </c>
      <c r="E5" s="2">
        <v>2500</v>
      </c>
      <c r="F5" s="4">
        <v>0.27</v>
      </c>
      <c r="G5">
        <v>36.700000000000003</v>
      </c>
      <c r="I5" s="4">
        <v>0.55000000000000004</v>
      </c>
      <c r="J5" t="s">
        <v>258</v>
      </c>
      <c r="K5" t="s">
        <v>257</v>
      </c>
      <c r="L5" t="s">
        <v>256</v>
      </c>
    </row>
    <row r="6" spans="1:12" x14ac:dyDescent="0.2">
      <c r="A6" s="1">
        <v>41</v>
      </c>
      <c r="B6" s="1" t="s">
        <v>41</v>
      </c>
      <c r="C6" s="1">
        <v>3.3288934026671435E-2</v>
      </c>
      <c r="D6" s="1">
        <v>4</v>
      </c>
      <c r="E6" s="2">
        <v>71549</v>
      </c>
      <c r="F6" s="4">
        <v>0.04</v>
      </c>
      <c r="G6" t="s">
        <v>258</v>
      </c>
      <c r="I6" s="4">
        <v>0.99</v>
      </c>
      <c r="J6" t="s">
        <v>258</v>
      </c>
      <c r="K6" t="s">
        <v>260</v>
      </c>
      <c r="L6" t="s">
        <v>259</v>
      </c>
    </row>
    <row r="7" spans="1:12" x14ac:dyDescent="0.2">
      <c r="A7" s="1">
        <v>204</v>
      </c>
      <c r="B7" s="1" t="s">
        <v>204</v>
      </c>
      <c r="C7" s="1">
        <v>4.2446933751464688E-2</v>
      </c>
      <c r="D7" s="1">
        <v>5</v>
      </c>
      <c r="E7" s="2">
        <v>1600</v>
      </c>
      <c r="F7" t="s">
        <v>258</v>
      </c>
      <c r="G7">
        <v>46</v>
      </c>
      <c r="I7" s="3">
        <v>0.28899999999999998</v>
      </c>
      <c r="J7" s="3">
        <v>1.4999999999999999E-2</v>
      </c>
      <c r="K7" t="s">
        <v>262</v>
      </c>
      <c r="L7" t="s">
        <v>261</v>
      </c>
    </row>
    <row r="8" spans="1:12" x14ac:dyDescent="0.2">
      <c r="A8" s="1">
        <v>126</v>
      </c>
      <c r="B8" s="1" t="s">
        <v>126</v>
      </c>
      <c r="C8" s="1">
        <v>4.8063462036565974E-2</v>
      </c>
      <c r="D8" s="1">
        <v>6</v>
      </c>
      <c r="E8" s="2">
        <v>15174</v>
      </c>
      <c r="F8" s="4">
        <v>0.3</v>
      </c>
      <c r="G8" t="s">
        <v>258</v>
      </c>
      <c r="I8" s="3">
        <v>0.85599999999999998</v>
      </c>
      <c r="J8" s="3" t="s">
        <v>258</v>
      </c>
      <c r="K8" t="s">
        <v>263</v>
      </c>
      <c r="L8" t="s">
        <v>254</v>
      </c>
    </row>
    <row r="9" spans="1:12" x14ac:dyDescent="0.2">
      <c r="A9" s="1">
        <v>17</v>
      </c>
      <c r="B9" s="1" t="s">
        <v>17</v>
      </c>
      <c r="C9" s="1">
        <v>5.1974193837528992E-2</v>
      </c>
      <c r="D9" s="1">
        <v>7</v>
      </c>
      <c r="E9" s="2">
        <v>4754</v>
      </c>
      <c r="F9" s="3">
        <v>4.3999999999999997E-2</v>
      </c>
      <c r="G9">
        <v>32.4</v>
      </c>
      <c r="I9" s="3">
        <v>0.71199999999999997</v>
      </c>
      <c r="J9" s="3">
        <v>1.2999999999999999E-2</v>
      </c>
      <c r="K9" t="s">
        <v>264</v>
      </c>
      <c r="L9" t="s">
        <v>256</v>
      </c>
    </row>
    <row r="10" spans="1:12" x14ac:dyDescent="0.2">
      <c r="A10" s="1">
        <v>120</v>
      </c>
      <c r="B10" s="1" t="s">
        <v>120</v>
      </c>
      <c r="C10" s="1">
        <v>5.7686889508655415E-2</v>
      </c>
      <c r="D10" s="1">
        <v>8</v>
      </c>
      <c r="E10" s="2">
        <v>5253</v>
      </c>
      <c r="F10" s="3">
        <v>3.1800000000000002E-2</v>
      </c>
      <c r="G10">
        <v>27.7</v>
      </c>
      <c r="I10" s="3">
        <v>0.995</v>
      </c>
      <c r="J10" s="4">
        <v>0.06</v>
      </c>
      <c r="K10" t="s">
        <v>265</v>
      </c>
      <c r="L10" t="s">
        <v>256</v>
      </c>
    </row>
    <row r="11" spans="1:12" x14ac:dyDescent="0.2">
      <c r="A11" s="1">
        <v>22</v>
      </c>
      <c r="B11" s="1" t="s">
        <v>22</v>
      </c>
      <c r="C11" s="1">
        <v>5.8832980605349805E-2</v>
      </c>
      <c r="D11" s="1">
        <v>9</v>
      </c>
      <c r="E11" s="2">
        <v>3287</v>
      </c>
      <c r="F11" s="4">
        <v>0.01</v>
      </c>
      <c r="G11">
        <v>47.8</v>
      </c>
      <c r="I11" s="3">
        <v>0.311</v>
      </c>
      <c r="J11" s="3">
        <v>2.9000000000000001E-2</v>
      </c>
      <c r="K11" t="s">
        <v>266</v>
      </c>
      <c r="L11" t="s">
        <v>256</v>
      </c>
    </row>
    <row r="12" spans="1:12" x14ac:dyDescent="0.2">
      <c r="A12" s="1">
        <v>40</v>
      </c>
      <c r="B12" s="1" t="s">
        <v>40</v>
      </c>
      <c r="C12" s="1">
        <v>5.9274089788748707E-2</v>
      </c>
      <c r="D12" s="1">
        <v>10</v>
      </c>
      <c r="E12" s="2">
        <v>49031</v>
      </c>
      <c r="F12" s="3">
        <v>5.67E-2</v>
      </c>
      <c r="G12">
        <v>33.299999999999997</v>
      </c>
      <c r="I12" s="4">
        <v>0.99</v>
      </c>
      <c r="J12" s="3">
        <v>5.2999999999999999E-2</v>
      </c>
      <c r="K12" t="s">
        <v>268</v>
      </c>
      <c r="L12" t="s">
        <v>267</v>
      </c>
    </row>
    <row r="13" spans="1:12" x14ac:dyDescent="0.2">
      <c r="A13" s="1">
        <v>200</v>
      </c>
      <c r="B13" s="1" t="s">
        <v>200</v>
      </c>
      <c r="C13" s="1">
        <v>6.6981473185886542E-2</v>
      </c>
      <c r="D13" s="1">
        <v>11</v>
      </c>
      <c r="E13" s="2">
        <v>2663</v>
      </c>
      <c r="F13" t="s">
        <v>258</v>
      </c>
      <c r="G13">
        <v>37.1</v>
      </c>
      <c r="I13" s="4">
        <v>0.99</v>
      </c>
      <c r="J13" s="3">
        <v>9.9000000000000005E-2</v>
      </c>
      <c r="K13" t="s">
        <v>269</v>
      </c>
      <c r="L13" t="s">
        <v>259</v>
      </c>
    </row>
    <row r="14" spans="1:12" x14ac:dyDescent="0.2">
      <c r="A14" s="1">
        <v>198</v>
      </c>
      <c r="B14" s="1" t="s">
        <v>198</v>
      </c>
      <c r="C14" s="1">
        <v>7.4332069412366697E-2</v>
      </c>
      <c r="D14" s="1">
        <v>12</v>
      </c>
      <c r="E14" s="2">
        <v>32730</v>
      </c>
      <c r="F14" s="4">
        <v>0.05</v>
      </c>
      <c r="G14">
        <v>25.2</v>
      </c>
      <c r="I14" s="4">
        <v>0.99</v>
      </c>
      <c r="J14" s="3">
        <v>3.9E-2</v>
      </c>
      <c r="K14" t="s">
        <v>271</v>
      </c>
      <c r="L14" t="s">
        <v>270</v>
      </c>
    </row>
    <row r="15" spans="1:12" x14ac:dyDescent="0.2">
      <c r="A15" s="1">
        <v>239</v>
      </c>
      <c r="B15" s="1" t="s">
        <v>239</v>
      </c>
      <c r="C15" s="1">
        <v>7.4467968346142888E-2</v>
      </c>
      <c r="D15" s="1">
        <v>13</v>
      </c>
      <c r="E15" s="2">
        <v>6220</v>
      </c>
      <c r="F15" s="3">
        <v>0.27900000000000003</v>
      </c>
      <c r="G15">
        <v>33.700000000000003</v>
      </c>
      <c r="I15" s="3">
        <v>0.95699999999999996</v>
      </c>
      <c r="J15" s="3">
        <v>5.2999999999999999E-2</v>
      </c>
      <c r="K15" t="s">
        <v>272</v>
      </c>
      <c r="L15" t="s">
        <v>254</v>
      </c>
    </row>
    <row r="16" spans="1:12" x14ac:dyDescent="0.2">
      <c r="A16" s="1">
        <v>203</v>
      </c>
      <c r="B16" s="1" t="s">
        <v>203</v>
      </c>
      <c r="C16" s="1">
        <v>7.8065907124869272E-2</v>
      </c>
      <c r="D16" s="1">
        <v>14</v>
      </c>
    </row>
    <row r="17" spans="1:12" x14ac:dyDescent="0.2">
      <c r="A17" s="1">
        <v>122</v>
      </c>
      <c r="B17" s="1" t="s">
        <v>122</v>
      </c>
      <c r="C17" s="1">
        <v>7.8680513420792852E-2</v>
      </c>
      <c r="D17" s="1">
        <v>15</v>
      </c>
      <c r="E17" s="2">
        <v>30898</v>
      </c>
      <c r="F17" s="3">
        <v>6.1400000000000003E-2</v>
      </c>
      <c r="G17">
        <v>35.6</v>
      </c>
      <c r="I17" s="3">
        <v>0.999</v>
      </c>
      <c r="J17" s="3">
        <v>4.3999999999999997E-2</v>
      </c>
      <c r="K17" t="s">
        <v>277</v>
      </c>
      <c r="L17" t="s">
        <v>276</v>
      </c>
    </row>
    <row r="18" spans="1:12" x14ac:dyDescent="0.2">
      <c r="A18" s="1">
        <v>3</v>
      </c>
      <c r="B18" s="1" t="s">
        <v>3</v>
      </c>
      <c r="C18" s="1">
        <v>8.0210667711394845E-2</v>
      </c>
      <c r="D18" s="1">
        <v>16</v>
      </c>
      <c r="E18" s="2">
        <v>11511</v>
      </c>
      <c r="F18" s="3">
        <v>0.11700000000000001</v>
      </c>
      <c r="G18">
        <v>27.6</v>
      </c>
      <c r="I18" s="3">
        <v>0.753</v>
      </c>
      <c r="J18" t="s">
        <v>258</v>
      </c>
      <c r="K18" t="s">
        <v>278</v>
      </c>
      <c r="L18" t="s">
        <v>254</v>
      </c>
    </row>
    <row r="19" spans="1:12" x14ac:dyDescent="0.2">
      <c r="A19" s="1">
        <v>102</v>
      </c>
      <c r="B19" s="1" t="s">
        <v>102</v>
      </c>
      <c r="C19" s="1">
        <v>9.162854042193358E-2</v>
      </c>
      <c r="D19" s="1">
        <v>17</v>
      </c>
      <c r="E19" s="2">
        <v>11812</v>
      </c>
      <c r="F19" s="3">
        <v>5.3100000000000001E-2</v>
      </c>
      <c r="G19">
        <v>37.799999999999997</v>
      </c>
      <c r="I19" s="4">
        <v>0.94</v>
      </c>
      <c r="J19" s="3">
        <v>3.5999999999999997E-2</v>
      </c>
      <c r="K19" t="s">
        <v>279</v>
      </c>
      <c r="L19" t="s">
        <v>256</v>
      </c>
    </row>
    <row r="20" spans="1:12" x14ac:dyDescent="0.2">
      <c r="A20" s="1">
        <v>30</v>
      </c>
      <c r="B20" s="1" t="s">
        <v>30</v>
      </c>
      <c r="C20" s="1">
        <v>9.2696740589696902E-2</v>
      </c>
      <c r="D20" s="1">
        <v>18</v>
      </c>
    </row>
    <row r="21" spans="1:12" x14ac:dyDescent="0.2">
      <c r="A21" s="1">
        <v>229</v>
      </c>
      <c r="B21" s="1" t="s">
        <v>229</v>
      </c>
      <c r="C21" s="1">
        <v>9.8194139774606559E-2</v>
      </c>
      <c r="D21" s="1">
        <v>19</v>
      </c>
      <c r="E21" s="2">
        <v>67119</v>
      </c>
      <c r="F21" s="3">
        <v>1.6E-2</v>
      </c>
      <c r="G21">
        <v>32.5</v>
      </c>
      <c r="I21" s="3">
        <v>0.95799999999999996</v>
      </c>
      <c r="J21" t="s">
        <v>258</v>
      </c>
      <c r="K21" t="s">
        <v>281</v>
      </c>
      <c r="L21" t="s">
        <v>256</v>
      </c>
    </row>
    <row r="22" spans="1:12" x14ac:dyDescent="0.2">
      <c r="A22" s="1">
        <v>132</v>
      </c>
      <c r="B22" s="1" t="s">
        <v>132</v>
      </c>
      <c r="C22" s="1">
        <v>0.10172214930249657</v>
      </c>
      <c r="D22" s="1">
        <v>20</v>
      </c>
      <c r="E22" s="2">
        <v>1060</v>
      </c>
      <c r="F22" s="3">
        <v>0.20399999999999999</v>
      </c>
      <c r="G22">
        <v>44.7</v>
      </c>
      <c r="I22" s="3">
        <v>0.55200000000000005</v>
      </c>
      <c r="J22" s="3">
        <v>4.7E-2</v>
      </c>
      <c r="K22" t="s">
        <v>282</v>
      </c>
      <c r="L22" t="s">
        <v>259</v>
      </c>
    </row>
    <row r="23" spans="1:12" x14ac:dyDescent="0.2">
      <c r="A23" s="1">
        <v>105</v>
      </c>
      <c r="B23" s="1" t="s">
        <v>105</v>
      </c>
      <c r="C23" s="1">
        <v>0.10281679460374238</v>
      </c>
      <c r="D23" s="1">
        <v>21</v>
      </c>
      <c r="E23" s="2">
        <v>86781</v>
      </c>
      <c r="F23" s="3">
        <v>4.9799999999999997E-2</v>
      </c>
      <c r="G23">
        <v>32.799999999999997</v>
      </c>
      <c r="I23" s="4">
        <v>0.99</v>
      </c>
      <c r="J23" s="3">
        <v>3.5000000000000003E-2</v>
      </c>
      <c r="K23" t="s">
        <v>283</v>
      </c>
      <c r="L23" t="s">
        <v>270</v>
      </c>
    </row>
    <row r="24" spans="1:12" x14ac:dyDescent="0.2">
      <c r="A24" s="1">
        <v>97</v>
      </c>
      <c r="B24" s="1" t="s">
        <v>97</v>
      </c>
      <c r="C24" s="1">
        <v>0.1078664507678917</v>
      </c>
      <c r="D24" s="1">
        <v>22</v>
      </c>
      <c r="E24" s="2">
        <v>5728</v>
      </c>
      <c r="F24" s="3">
        <v>5.6000000000000001E-2</v>
      </c>
      <c r="G24">
        <v>52.1</v>
      </c>
      <c r="I24" s="3">
        <v>0.873</v>
      </c>
      <c r="J24" s="3">
        <v>6.0999999999999999E-2</v>
      </c>
      <c r="K24" t="s">
        <v>284</v>
      </c>
      <c r="L24" t="s">
        <v>270</v>
      </c>
    </row>
    <row r="25" spans="1:12" x14ac:dyDescent="0.2">
      <c r="A25" s="1">
        <v>111</v>
      </c>
      <c r="B25" s="1" t="s">
        <v>111</v>
      </c>
      <c r="C25" s="1">
        <v>0.10980388445866962</v>
      </c>
      <c r="D25" s="1">
        <v>23</v>
      </c>
      <c r="E25" s="2">
        <v>56600</v>
      </c>
      <c r="F25" s="4">
        <v>0.04</v>
      </c>
      <c r="G25">
        <v>0.3</v>
      </c>
      <c r="I25" s="4">
        <v>0.99</v>
      </c>
      <c r="J25" t="s">
        <v>258</v>
      </c>
      <c r="K25" t="s">
        <v>285</v>
      </c>
      <c r="L25" t="s">
        <v>259</v>
      </c>
    </row>
    <row r="26" spans="1:12" x14ac:dyDescent="0.2">
      <c r="A26" s="1">
        <v>137</v>
      </c>
      <c r="B26" s="1" t="s">
        <v>137</v>
      </c>
      <c r="C26" s="1">
        <v>0.1142104600263919</v>
      </c>
      <c r="D26" s="1">
        <v>24</v>
      </c>
      <c r="E26" s="2">
        <v>3889</v>
      </c>
      <c r="F26" s="4">
        <v>0.36</v>
      </c>
      <c r="G26" t="s">
        <v>258</v>
      </c>
      <c r="I26" s="3">
        <v>0.98199999999999998</v>
      </c>
      <c r="J26" t="s">
        <v>258</v>
      </c>
      <c r="K26" t="s">
        <v>286</v>
      </c>
      <c r="L26" t="s">
        <v>259</v>
      </c>
    </row>
    <row r="27" spans="1:12" x14ac:dyDescent="0.2">
      <c r="A27" s="1">
        <v>218</v>
      </c>
      <c r="B27" s="1" t="s">
        <v>218</v>
      </c>
      <c r="C27" s="1">
        <v>0.12240349698582431</v>
      </c>
      <c r="D27" s="1">
        <v>25</v>
      </c>
      <c r="E27" s="2">
        <v>1597</v>
      </c>
      <c r="F27" s="3">
        <v>6.9000000000000006E-2</v>
      </c>
      <c r="G27">
        <v>43.1</v>
      </c>
      <c r="I27" s="3">
        <v>0.51200000000000001</v>
      </c>
      <c r="J27" s="3">
        <v>5.3999999999999999E-2</v>
      </c>
      <c r="K27" t="s">
        <v>287</v>
      </c>
      <c r="L27" t="s">
        <v>252</v>
      </c>
    </row>
    <row r="28" spans="1:12" x14ac:dyDescent="0.2">
      <c r="A28" s="1">
        <v>185</v>
      </c>
      <c r="B28" s="1" t="s">
        <v>185</v>
      </c>
      <c r="C28" s="1">
        <v>0.12356918292001429</v>
      </c>
      <c r="D28" s="1">
        <v>26</v>
      </c>
      <c r="E28" s="2"/>
    </row>
    <row r="29" spans="1:12" x14ac:dyDescent="0.2">
      <c r="A29" s="1">
        <v>57</v>
      </c>
      <c r="B29" s="1" t="s">
        <v>57</v>
      </c>
      <c r="C29" s="1">
        <v>0.12818274929918161</v>
      </c>
      <c r="D29" s="1">
        <v>27</v>
      </c>
      <c r="E29" s="2">
        <v>24497</v>
      </c>
      <c r="F29" s="4">
        <v>0.13</v>
      </c>
      <c r="G29" t="s">
        <v>258</v>
      </c>
      <c r="I29" s="4">
        <v>0.99</v>
      </c>
      <c r="J29" s="3">
        <v>4.9000000000000002E-2</v>
      </c>
      <c r="K29" t="s">
        <v>289</v>
      </c>
      <c r="L29" t="s">
        <v>270</v>
      </c>
    </row>
    <row r="30" spans="1:12" x14ac:dyDescent="0.2">
      <c r="A30" s="1">
        <v>207</v>
      </c>
      <c r="B30" s="1" t="s">
        <v>207</v>
      </c>
      <c r="C30" s="1">
        <v>0.13613262471930609</v>
      </c>
      <c r="D30" s="1">
        <v>28</v>
      </c>
      <c r="E30" s="2">
        <v>3958</v>
      </c>
      <c r="F30" s="3">
        <v>0.19600000000000001</v>
      </c>
      <c r="G30">
        <v>34.200000000000003</v>
      </c>
      <c r="I30" s="3">
        <v>0.56100000000000005</v>
      </c>
      <c r="J30" t="s">
        <v>258</v>
      </c>
      <c r="K30" t="s">
        <v>291</v>
      </c>
      <c r="L30" t="s">
        <v>290</v>
      </c>
    </row>
    <row r="31" spans="1:12" x14ac:dyDescent="0.2">
      <c r="A31" s="1">
        <v>106</v>
      </c>
      <c r="B31" s="1" t="s">
        <v>106</v>
      </c>
      <c r="C31" s="1">
        <v>0.13830328987319485</v>
      </c>
      <c r="D31" s="1">
        <v>29</v>
      </c>
      <c r="E31" s="2"/>
      <c r="F31" s="3"/>
    </row>
    <row r="32" spans="1:12" x14ac:dyDescent="0.2">
      <c r="A32" s="1">
        <v>226</v>
      </c>
      <c r="B32" s="1" t="s">
        <v>226</v>
      </c>
      <c r="C32" s="1">
        <v>0.14050736596956814</v>
      </c>
      <c r="D32" s="1">
        <v>30</v>
      </c>
      <c r="E32" s="2"/>
    </row>
    <row r="33" spans="1:12" x14ac:dyDescent="0.2">
      <c r="A33" s="1">
        <v>29</v>
      </c>
      <c r="B33" s="1" t="s">
        <v>29</v>
      </c>
      <c r="C33" s="1">
        <v>0.14424133044477538</v>
      </c>
      <c r="D33" s="1">
        <v>31</v>
      </c>
      <c r="E33" s="2">
        <v>14652</v>
      </c>
      <c r="F33" s="3">
        <v>0.1193</v>
      </c>
      <c r="G33">
        <v>53.9</v>
      </c>
      <c r="I33" s="3">
        <v>0.93400000000000005</v>
      </c>
      <c r="J33" s="3">
        <v>6.3E-2</v>
      </c>
      <c r="K33" t="s">
        <v>273</v>
      </c>
      <c r="L33" t="s">
        <v>270</v>
      </c>
    </row>
    <row r="34" spans="1:12" x14ac:dyDescent="0.2">
      <c r="A34" s="1">
        <v>38</v>
      </c>
      <c r="B34" s="1" t="s">
        <v>38</v>
      </c>
      <c r="C34" s="1">
        <v>0.15070800310759946</v>
      </c>
      <c r="D34" s="1">
        <v>32</v>
      </c>
      <c r="E34" s="2">
        <v>4389</v>
      </c>
      <c r="F34" s="3">
        <v>3.0000000000000001E-3</v>
      </c>
      <c r="G34">
        <v>37.9</v>
      </c>
      <c r="I34" s="4">
        <v>0.75</v>
      </c>
      <c r="J34" s="3">
        <v>2.1999999999999999E-2</v>
      </c>
      <c r="K34" t="s">
        <v>275</v>
      </c>
      <c r="L34" t="s">
        <v>274</v>
      </c>
    </row>
    <row r="35" spans="1:12" x14ac:dyDescent="0.2">
      <c r="A35" s="1">
        <v>77</v>
      </c>
      <c r="B35" s="1" t="s">
        <v>77</v>
      </c>
      <c r="C35" s="1">
        <v>0.1539931820050956</v>
      </c>
      <c r="D35" s="1">
        <v>33</v>
      </c>
    </row>
    <row r="36" spans="1:12" x14ac:dyDescent="0.2">
      <c r="A36" s="1">
        <v>81</v>
      </c>
      <c r="B36" s="1" t="s">
        <v>81</v>
      </c>
      <c r="C36" s="1">
        <v>0.15687502002033793</v>
      </c>
      <c r="D36" s="1">
        <v>34</v>
      </c>
      <c r="E36" s="2">
        <v>6220</v>
      </c>
      <c r="F36" s="3">
        <v>0.27900000000000003</v>
      </c>
      <c r="G36">
        <v>33.700000000000003</v>
      </c>
      <c r="I36" s="3">
        <v>0.95699999999999996</v>
      </c>
      <c r="J36" s="3">
        <v>5.2999999999999999E-2</v>
      </c>
      <c r="K36" t="s">
        <v>280</v>
      </c>
      <c r="L36" t="s">
        <v>254</v>
      </c>
    </row>
    <row r="37" spans="1:12" x14ac:dyDescent="0.2">
      <c r="A37" s="1">
        <v>141</v>
      </c>
      <c r="B37" s="1" t="s">
        <v>141</v>
      </c>
      <c r="C37" s="1">
        <v>0.15866651559628631</v>
      </c>
      <c r="D37" s="1">
        <v>35</v>
      </c>
    </row>
    <row r="38" spans="1:12" x14ac:dyDescent="0.2">
      <c r="A38" s="1">
        <v>27</v>
      </c>
      <c r="B38" s="1" t="s">
        <v>27</v>
      </c>
      <c r="C38" s="1">
        <v>0.1668263816943214</v>
      </c>
      <c r="D38" s="1">
        <v>36</v>
      </c>
      <c r="E38" s="2">
        <v>17767</v>
      </c>
      <c r="F38" s="4">
        <v>0.2</v>
      </c>
      <c r="G38">
        <v>53.3</v>
      </c>
      <c r="I38" s="3">
        <v>0.88900000000000001</v>
      </c>
      <c r="J38" t="s">
        <v>258</v>
      </c>
      <c r="K38" t="s">
        <v>288</v>
      </c>
      <c r="L38" t="s">
        <v>252</v>
      </c>
    </row>
    <row r="39" spans="1:12" x14ac:dyDescent="0.2">
      <c r="A39" s="1">
        <v>76</v>
      </c>
      <c r="B39" s="1" t="s">
        <v>76</v>
      </c>
      <c r="C39" s="1">
        <v>0.16965262935447856</v>
      </c>
      <c r="D39" s="1">
        <v>37</v>
      </c>
      <c r="E39" s="2">
        <v>46184</v>
      </c>
      <c r="F39" s="3">
        <v>8.1199999999999994E-2</v>
      </c>
      <c r="G39">
        <v>31.6</v>
      </c>
      <c r="I39" s="4">
        <v>0.99</v>
      </c>
      <c r="J39" s="3">
        <v>5.5E-2</v>
      </c>
      <c r="K39" t="s">
        <v>292</v>
      </c>
      <c r="L39" t="s">
        <v>270</v>
      </c>
    </row>
    <row r="40" spans="1:12" x14ac:dyDescent="0.2">
      <c r="A40">
        <v>10</v>
      </c>
      <c r="B40" t="s">
        <v>10</v>
      </c>
      <c r="C40">
        <v>0.17136937172839983</v>
      </c>
    </row>
    <row r="41" spans="1:12" x14ac:dyDescent="0.2">
      <c r="A41">
        <v>123</v>
      </c>
      <c r="B41" t="s">
        <v>123</v>
      </c>
      <c r="C41">
        <v>0.17829787335547209</v>
      </c>
    </row>
    <row r="42" spans="1:12" x14ac:dyDescent="0.2">
      <c r="A42">
        <v>213</v>
      </c>
      <c r="B42" t="s">
        <v>213</v>
      </c>
      <c r="C42">
        <v>0.17871886272638338</v>
      </c>
    </row>
    <row r="43" spans="1:12" x14ac:dyDescent="0.2">
      <c r="A43">
        <v>26</v>
      </c>
      <c r="B43" t="s">
        <v>26</v>
      </c>
      <c r="C43">
        <v>0.17992094547904391</v>
      </c>
    </row>
    <row r="44" spans="1:12" x14ac:dyDescent="0.2">
      <c r="A44">
        <v>71</v>
      </c>
      <c r="B44" t="s">
        <v>71</v>
      </c>
      <c r="C44">
        <v>0.18658261165998602</v>
      </c>
    </row>
    <row r="45" spans="1:12" x14ac:dyDescent="0.2">
      <c r="A45">
        <v>24</v>
      </c>
      <c r="B45" t="s">
        <v>24</v>
      </c>
      <c r="C45">
        <v>0.18767371101897123</v>
      </c>
    </row>
    <row r="46" spans="1:12" x14ac:dyDescent="0.2">
      <c r="A46">
        <v>65</v>
      </c>
      <c r="B46" t="s">
        <v>65</v>
      </c>
      <c r="C46">
        <v>0.19631961302420786</v>
      </c>
    </row>
    <row r="47" spans="1:12" x14ac:dyDescent="0.2">
      <c r="A47">
        <v>191</v>
      </c>
      <c r="B47" t="s">
        <v>191</v>
      </c>
      <c r="C47">
        <v>0.20479733645858156</v>
      </c>
    </row>
    <row r="48" spans="1:12" x14ac:dyDescent="0.2">
      <c r="A48">
        <v>158</v>
      </c>
      <c r="B48" t="s">
        <v>158</v>
      </c>
      <c r="C48">
        <v>0.21505355140412619</v>
      </c>
    </row>
    <row r="49" spans="1:3" x14ac:dyDescent="0.2">
      <c r="A49">
        <v>104</v>
      </c>
      <c r="B49" t="s">
        <v>104</v>
      </c>
      <c r="C49">
        <v>0.21956783776329425</v>
      </c>
    </row>
    <row r="50" spans="1:3" x14ac:dyDescent="0.2">
      <c r="A50">
        <v>67</v>
      </c>
      <c r="B50" t="s">
        <v>67</v>
      </c>
      <c r="C50">
        <v>0.22219062923886945</v>
      </c>
    </row>
    <row r="51" spans="1:3" x14ac:dyDescent="0.2">
      <c r="A51">
        <v>96</v>
      </c>
      <c r="B51" t="s">
        <v>96</v>
      </c>
      <c r="C51">
        <v>0.2233931028368239</v>
      </c>
    </row>
    <row r="52" spans="1:3" x14ac:dyDescent="0.2">
      <c r="A52">
        <v>56</v>
      </c>
      <c r="B52" t="s">
        <v>56</v>
      </c>
      <c r="C52">
        <v>0.22475011410227452</v>
      </c>
    </row>
    <row r="53" spans="1:3" x14ac:dyDescent="0.2">
      <c r="A53">
        <v>61</v>
      </c>
      <c r="B53" t="s">
        <v>61</v>
      </c>
      <c r="C53">
        <v>0.23136033252390165</v>
      </c>
    </row>
    <row r="54" spans="1:3" x14ac:dyDescent="0.2">
      <c r="A54">
        <v>145</v>
      </c>
      <c r="B54" t="s">
        <v>145</v>
      </c>
      <c r="C54">
        <v>0.2337001429158736</v>
      </c>
    </row>
    <row r="55" spans="1:3" x14ac:dyDescent="0.2">
      <c r="A55">
        <v>68</v>
      </c>
      <c r="B55" t="s">
        <v>68</v>
      </c>
      <c r="C55">
        <v>0.23823114283451619</v>
      </c>
    </row>
    <row r="56" spans="1:3" x14ac:dyDescent="0.2">
      <c r="A56">
        <v>32</v>
      </c>
      <c r="B56" t="s">
        <v>32</v>
      </c>
      <c r="C56">
        <v>0.24991567462984787</v>
      </c>
    </row>
    <row r="57" spans="1:3" x14ac:dyDescent="0.2">
      <c r="A57">
        <v>127</v>
      </c>
      <c r="B57" t="s">
        <v>127</v>
      </c>
      <c r="C57">
        <v>0.25002069638054603</v>
      </c>
    </row>
    <row r="58" spans="1:3" x14ac:dyDescent="0.2">
      <c r="A58">
        <v>133</v>
      </c>
      <c r="B58" t="s">
        <v>133</v>
      </c>
      <c r="C58">
        <v>0.25118408602549591</v>
      </c>
    </row>
    <row r="59" spans="1:3" x14ac:dyDescent="0.2">
      <c r="A59">
        <v>208</v>
      </c>
      <c r="B59" t="s">
        <v>208</v>
      </c>
      <c r="C59">
        <v>0.27221169946679924</v>
      </c>
    </row>
    <row r="60" spans="1:3" x14ac:dyDescent="0.2">
      <c r="A60">
        <v>60</v>
      </c>
      <c r="B60" t="s">
        <v>60</v>
      </c>
      <c r="C60">
        <v>0.27396182667539426</v>
      </c>
    </row>
    <row r="61" spans="1:3" x14ac:dyDescent="0.2">
      <c r="A61">
        <v>168</v>
      </c>
      <c r="B61" t="s">
        <v>168</v>
      </c>
      <c r="C61">
        <v>0.28390012944091081</v>
      </c>
    </row>
    <row r="62" spans="1:3" x14ac:dyDescent="0.2">
      <c r="A62">
        <v>25</v>
      </c>
      <c r="B62" t="s">
        <v>25</v>
      </c>
      <c r="C62">
        <v>0.285091475854092</v>
      </c>
    </row>
    <row r="63" spans="1:3" x14ac:dyDescent="0.2">
      <c r="A63">
        <v>169</v>
      </c>
      <c r="B63" t="s">
        <v>169</v>
      </c>
      <c r="C63">
        <v>0.28631110896289302</v>
      </c>
    </row>
    <row r="64" spans="1:3" x14ac:dyDescent="0.2">
      <c r="A64">
        <v>80</v>
      </c>
      <c r="B64" t="s">
        <v>80</v>
      </c>
      <c r="C64">
        <v>0.28660839090253054</v>
      </c>
    </row>
    <row r="65" spans="1:3" x14ac:dyDescent="0.2">
      <c r="A65">
        <v>223</v>
      </c>
      <c r="B65" t="s">
        <v>223</v>
      </c>
      <c r="C65">
        <v>0.28942568740136587</v>
      </c>
    </row>
    <row r="66" spans="1:3" x14ac:dyDescent="0.2">
      <c r="A66">
        <v>100</v>
      </c>
      <c r="B66" t="s">
        <v>100</v>
      </c>
      <c r="C66">
        <v>0.30008339945653062</v>
      </c>
    </row>
    <row r="67" spans="1:3" x14ac:dyDescent="0.2">
      <c r="A67">
        <v>13</v>
      </c>
      <c r="B67" t="s">
        <v>13</v>
      </c>
      <c r="C67">
        <v>0.30164045899442571</v>
      </c>
    </row>
    <row r="68" spans="1:3" x14ac:dyDescent="0.2">
      <c r="A68">
        <v>178</v>
      </c>
      <c r="B68" t="s">
        <v>178</v>
      </c>
      <c r="C68">
        <v>0.30651175513236806</v>
      </c>
    </row>
    <row r="69" spans="1:3" x14ac:dyDescent="0.2">
      <c r="A69">
        <v>64</v>
      </c>
      <c r="B69" t="s">
        <v>64</v>
      </c>
      <c r="C69">
        <v>0.3136220520981079</v>
      </c>
    </row>
    <row r="70" spans="1:3" x14ac:dyDescent="0.2">
      <c r="A70">
        <v>99</v>
      </c>
      <c r="B70" t="s">
        <v>99</v>
      </c>
      <c r="C70">
        <v>0.31669971318706325</v>
      </c>
    </row>
    <row r="71" spans="1:3" x14ac:dyDescent="0.2">
      <c r="A71">
        <v>151</v>
      </c>
      <c r="B71" t="s">
        <v>151</v>
      </c>
      <c r="C71">
        <v>0.3196536660478787</v>
      </c>
    </row>
    <row r="72" spans="1:3" x14ac:dyDescent="0.2">
      <c r="A72">
        <v>73</v>
      </c>
      <c r="B72" t="s">
        <v>73</v>
      </c>
      <c r="C72">
        <v>0.32138531060019293</v>
      </c>
    </row>
    <row r="73" spans="1:3" x14ac:dyDescent="0.2">
      <c r="A73">
        <v>125</v>
      </c>
      <c r="B73" t="s">
        <v>125</v>
      </c>
      <c r="C73">
        <v>0.32410280190371488</v>
      </c>
    </row>
    <row r="74" spans="1:3" x14ac:dyDescent="0.2">
      <c r="A74">
        <v>20</v>
      </c>
      <c r="B74" t="s">
        <v>20</v>
      </c>
      <c r="C74">
        <v>0.32725858745296477</v>
      </c>
    </row>
    <row r="75" spans="1:3" x14ac:dyDescent="0.2">
      <c r="A75">
        <v>129</v>
      </c>
      <c r="B75" t="s">
        <v>129</v>
      </c>
      <c r="C75">
        <v>0.32899263580471794</v>
      </c>
    </row>
    <row r="76" spans="1:3" x14ac:dyDescent="0.2">
      <c r="A76">
        <v>188</v>
      </c>
      <c r="B76" t="s">
        <v>188</v>
      </c>
      <c r="C76">
        <v>0.32976828794676472</v>
      </c>
    </row>
    <row r="77" spans="1:3" x14ac:dyDescent="0.2">
      <c r="A77">
        <v>174</v>
      </c>
      <c r="B77" t="s">
        <v>174</v>
      </c>
      <c r="C77">
        <v>0.33455036389831871</v>
      </c>
    </row>
    <row r="78" spans="1:3" x14ac:dyDescent="0.2">
      <c r="A78">
        <v>128</v>
      </c>
      <c r="B78" t="s">
        <v>128</v>
      </c>
      <c r="C78">
        <v>0.3380078375813157</v>
      </c>
    </row>
    <row r="79" spans="1:3" x14ac:dyDescent="0.2">
      <c r="A79">
        <v>144</v>
      </c>
      <c r="B79" t="s">
        <v>144</v>
      </c>
      <c r="C79">
        <v>0.33890169080967636</v>
      </c>
    </row>
    <row r="80" spans="1:3" x14ac:dyDescent="0.2">
      <c r="A80">
        <v>190</v>
      </c>
      <c r="B80" t="s">
        <v>190</v>
      </c>
      <c r="C80">
        <v>0.34409076685823725</v>
      </c>
    </row>
    <row r="81" spans="1:3" x14ac:dyDescent="0.2">
      <c r="A81">
        <v>115</v>
      </c>
      <c r="B81" t="s">
        <v>115</v>
      </c>
      <c r="C81">
        <v>0.34679236817050052</v>
      </c>
    </row>
    <row r="82" spans="1:3" x14ac:dyDescent="0.2">
      <c r="A82">
        <v>162</v>
      </c>
      <c r="B82" t="s">
        <v>162</v>
      </c>
      <c r="C82">
        <v>0.36211951828564837</v>
      </c>
    </row>
    <row r="83" spans="1:3" x14ac:dyDescent="0.2">
      <c r="A83">
        <v>142</v>
      </c>
      <c r="B83" t="s">
        <v>142</v>
      </c>
      <c r="C83">
        <v>0.36611258033416272</v>
      </c>
    </row>
    <row r="84" spans="1:3" x14ac:dyDescent="0.2">
      <c r="A84">
        <v>219</v>
      </c>
      <c r="B84" t="s">
        <v>219</v>
      </c>
      <c r="C84">
        <v>0.36616518000986065</v>
      </c>
    </row>
    <row r="85" spans="1:3" x14ac:dyDescent="0.2">
      <c r="A85">
        <v>118</v>
      </c>
      <c r="B85" t="s">
        <v>118</v>
      </c>
      <c r="C85">
        <v>0.3726351482443182</v>
      </c>
    </row>
    <row r="86" spans="1:3" x14ac:dyDescent="0.2">
      <c r="A86">
        <v>4</v>
      </c>
      <c r="B86" t="s">
        <v>4</v>
      </c>
      <c r="C86">
        <v>0.37637864626609363</v>
      </c>
    </row>
    <row r="87" spans="1:3" x14ac:dyDescent="0.2">
      <c r="A87">
        <v>51</v>
      </c>
      <c r="B87" t="s">
        <v>51</v>
      </c>
      <c r="C87">
        <v>0.38369162321732198</v>
      </c>
    </row>
    <row r="88" spans="1:3" x14ac:dyDescent="0.2">
      <c r="A88">
        <v>147</v>
      </c>
      <c r="B88" t="s">
        <v>147</v>
      </c>
      <c r="C88">
        <v>0.38580357364002804</v>
      </c>
    </row>
    <row r="89" spans="1:3" x14ac:dyDescent="0.2">
      <c r="A89">
        <v>85</v>
      </c>
      <c r="B89" t="s">
        <v>85</v>
      </c>
      <c r="C89">
        <v>0.39081552956472509</v>
      </c>
    </row>
    <row r="90" spans="1:3" x14ac:dyDescent="0.2">
      <c r="A90">
        <v>8</v>
      </c>
      <c r="B90" t="s">
        <v>8</v>
      </c>
      <c r="C90">
        <v>0.39336023929844255</v>
      </c>
    </row>
    <row r="91" spans="1:3" x14ac:dyDescent="0.2">
      <c r="A91">
        <v>149</v>
      </c>
      <c r="B91" t="s">
        <v>149</v>
      </c>
      <c r="C91">
        <v>0.3984736384390013</v>
      </c>
    </row>
    <row r="92" spans="1:3" x14ac:dyDescent="0.2">
      <c r="A92">
        <v>9</v>
      </c>
      <c r="B92" t="s">
        <v>9</v>
      </c>
      <c r="C92">
        <v>0.41215568578617856</v>
      </c>
    </row>
    <row r="93" spans="1:3" x14ac:dyDescent="0.2">
      <c r="A93">
        <v>192</v>
      </c>
      <c r="B93" t="s">
        <v>192</v>
      </c>
      <c r="C93">
        <v>0.41348518602752105</v>
      </c>
    </row>
    <row r="94" spans="1:3" x14ac:dyDescent="0.2">
      <c r="A94">
        <v>184</v>
      </c>
      <c r="B94" t="s">
        <v>184</v>
      </c>
      <c r="C94">
        <v>0.41504675421621773</v>
      </c>
    </row>
    <row r="95" spans="1:3" x14ac:dyDescent="0.2">
      <c r="A95">
        <v>119</v>
      </c>
      <c r="B95" t="s">
        <v>119</v>
      </c>
      <c r="C95">
        <v>0.41646308406532107</v>
      </c>
    </row>
    <row r="96" spans="1:3" x14ac:dyDescent="0.2">
      <c r="A96">
        <v>224</v>
      </c>
      <c r="B96" t="s">
        <v>224</v>
      </c>
      <c r="C96">
        <v>0.41877312438759506</v>
      </c>
    </row>
    <row r="97" spans="1:3" x14ac:dyDescent="0.2">
      <c r="A97">
        <v>217</v>
      </c>
      <c r="B97" t="s">
        <v>217</v>
      </c>
      <c r="C97">
        <v>0.42017539220111044</v>
      </c>
    </row>
    <row r="98" spans="1:3" x14ac:dyDescent="0.2">
      <c r="A98">
        <v>235</v>
      </c>
      <c r="B98" t="s">
        <v>235</v>
      </c>
      <c r="C98">
        <v>0.42408030266669194</v>
      </c>
    </row>
    <row r="99" spans="1:3" x14ac:dyDescent="0.2">
      <c r="A99">
        <v>16</v>
      </c>
      <c r="B99" t="s">
        <v>16</v>
      </c>
      <c r="C99">
        <v>0.42579263809329815</v>
      </c>
    </row>
    <row r="100" spans="1:3" x14ac:dyDescent="0.2">
      <c r="A100">
        <v>31</v>
      </c>
      <c r="B100" t="s">
        <v>31</v>
      </c>
      <c r="C100">
        <v>0.43015701971523523</v>
      </c>
    </row>
    <row r="101" spans="1:3" x14ac:dyDescent="0.2">
      <c r="A101">
        <v>165</v>
      </c>
      <c r="B101" t="s">
        <v>165</v>
      </c>
      <c r="C101">
        <v>0.43286039634826845</v>
      </c>
    </row>
    <row r="102" spans="1:3" x14ac:dyDescent="0.2">
      <c r="A102">
        <v>43</v>
      </c>
      <c r="B102" t="s">
        <v>43</v>
      </c>
      <c r="C102">
        <v>0.43305802734594456</v>
      </c>
    </row>
    <row r="103" spans="1:3" x14ac:dyDescent="0.2">
      <c r="A103">
        <v>45</v>
      </c>
      <c r="B103" t="s">
        <v>45</v>
      </c>
      <c r="C103">
        <v>0.43646243748501057</v>
      </c>
    </row>
    <row r="104" spans="1:3" x14ac:dyDescent="0.2">
      <c r="A104">
        <v>182</v>
      </c>
      <c r="B104" t="s">
        <v>182</v>
      </c>
      <c r="C104">
        <v>0.44833686274654139</v>
      </c>
    </row>
    <row r="105" spans="1:3" x14ac:dyDescent="0.2">
      <c r="A105">
        <v>148</v>
      </c>
      <c r="B105" t="s">
        <v>148</v>
      </c>
      <c r="C105">
        <v>0.4603193442657163</v>
      </c>
    </row>
    <row r="106" spans="1:3" x14ac:dyDescent="0.2">
      <c r="A106">
        <v>87</v>
      </c>
      <c r="B106" t="s">
        <v>87</v>
      </c>
      <c r="C106">
        <v>0.46193343103966733</v>
      </c>
    </row>
    <row r="107" spans="1:3" x14ac:dyDescent="0.2">
      <c r="A107">
        <v>15</v>
      </c>
      <c r="B107" t="s">
        <v>15</v>
      </c>
      <c r="C107">
        <v>0.46242453346151258</v>
      </c>
    </row>
    <row r="108" spans="1:3" x14ac:dyDescent="0.2">
      <c r="A108">
        <v>47</v>
      </c>
      <c r="B108" t="s">
        <v>47</v>
      </c>
      <c r="C108">
        <v>0.46353331578227686</v>
      </c>
    </row>
    <row r="109" spans="1:3" x14ac:dyDescent="0.2">
      <c r="A109">
        <v>131</v>
      </c>
      <c r="B109" t="s">
        <v>131</v>
      </c>
      <c r="C109">
        <v>0.46587423732777777</v>
      </c>
    </row>
    <row r="110" spans="1:3" x14ac:dyDescent="0.2">
      <c r="A110">
        <v>242</v>
      </c>
      <c r="B110" t="s">
        <v>242</v>
      </c>
      <c r="C110">
        <v>0.46772327401887859</v>
      </c>
    </row>
    <row r="111" spans="1:3" x14ac:dyDescent="0.2">
      <c r="A111">
        <v>179</v>
      </c>
      <c r="B111" t="s">
        <v>179</v>
      </c>
      <c r="C111">
        <v>0.47240417876855834</v>
      </c>
    </row>
    <row r="112" spans="1:3" x14ac:dyDescent="0.2">
      <c r="A112">
        <v>161</v>
      </c>
      <c r="B112" t="s">
        <v>161</v>
      </c>
      <c r="C112">
        <v>0.47782936956667277</v>
      </c>
    </row>
    <row r="113" spans="1:3" x14ac:dyDescent="0.2">
      <c r="A113">
        <v>140</v>
      </c>
      <c r="B113" t="s">
        <v>140</v>
      </c>
      <c r="C113">
        <v>0.48340813477838218</v>
      </c>
    </row>
    <row r="114" spans="1:3" x14ac:dyDescent="0.2">
      <c r="A114">
        <v>212</v>
      </c>
      <c r="B114" t="s">
        <v>212</v>
      </c>
      <c r="C114">
        <v>0.48771225913117966</v>
      </c>
    </row>
    <row r="115" spans="1:3" x14ac:dyDescent="0.2">
      <c r="A115">
        <v>78</v>
      </c>
      <c r="B115" t="s">
        <v>78</v>
      </c>
      <c r="C115">
        <v>0.49173048168544775</v>
      </c>
    </row>
    <row r="116" spans="1:3" x14ac:dyDescent="0.2">
      <c r="A116">
        <v>46</v>
      </c>
      <c r="B116" t="s">
        <v>46</v>
      </c>
      <c r="C116">
        <v>0.49203192667497775</v>
      </c>
    </row>
    <row r="117" spans="1:3" x14ac:dyDescent="0.2">
      <c r="A117">
        <v>199</v>
      </c>
      <c r="B117" t="s">
        <v>199</v>
      </c>
      <c r="C117">
        <v>0.49424157213163677</v>
      </c>
    </row>
    <row r="118" spans="1:3" x14ac:dyDescent="0.2">
      <c r="A118">
        <v>236</v>
      </c>
      <c r="B118" t="s">
        <v>236</v>
      </c>
      <c r="C118">
        <v>0.49663197022983052</v>
      </c>
    </row>
    <row r="119" spans="1:3" x14ac:dyDescent="0.2">
      <c r="A119">
        <v>163</v>
      </c>
      <c r="B119" t="s">
        <v>163</v>
      </c>
      <c r="C119">
        <v>0.49726344732369021</v>
      </c>
    </row>
    <row r="120" spans="1:3" x14ac:dyDescent="0.2">
      <c r="A120">
        <v>210</v>
      </c>
      <c r="B120" t="s">
        <v>210</v>
      </c>
      <c r="C120">
        <v>0.49975493701855622</v>
      </c>
    </row>
    <row r="121" spans="1:3" x14ac:dyDescent="0.2">
      <c r="A121">
        <v>193</v>
      </c>
      <c r="B121" t="s">
        <v>193</v>
      </c>
      <c r="C121">
        <v>0.50358109564846154</v>
      </c>
    </row>
    <row r="122" spans="1:3" x14ac:dyDescent="0.2">
      <c r="A122">
        <v>6</v>
      </c>
      <c r="B122" t="s">
        <v>6</v>
      </c>
      <c r="C122">
        <v>0.50592567123617882</v>
      </c>
    </row>
    <row r="123" spans="1:3" x14ac:dyDescent="0.2">
      <c r="A123">
        <v>170</v>
      </c>
      <c r="B123" t="s">
        <v>170</v>
      </c>
      <c r="C123">
        <v>0.50761749470586115</v>
      </c>
    </row>
    <row r="124" spans="1:3" x14ac:dyDescent="0.2">
      <c r="A124">
        <v>230</v>
      </c>
      <c r="B124" t="s">
        <v>230</v>
      </c>
      <c r="C124">
        <v>0.53027066319816007</v>
      </c>
    </row>
    <row r="125" spans="1:3" x14ac:dyDescent="0.2">
      <c r="A125">
        <v>39</v>
      </c>
      <c r="B125" t="s">
        <v>39</v>
      </c>
      <c r="C125">
        <v>0.53255207756721823</v>
      </c>
    </row>
    <row r="126" spans="1:3" x14ac:dyDescent="0.2">
      <c r="A126">
        <v>117</v>
      </c>
      <c r="B126" t="s">
        <v>117</v>
      </c>
      <c r="C126">
        <v>0.54936217505321416</v>
      </c>
    </row>
    <row r="127" spans="1:3" x14ac:dyDescent="0.2">
      <c r="A127">
        <v>19</v>
      </c>
      <c r="B127" t="s">
        <v>19</v>
      </c>
      <c r="C127">
        <v>0.55454605092854925</v>
      </c>
    </row>
    <row r="128" spans="1:3" x14ac:dyDescent="0.2">
      <c r="A128">
        <v>187</v>
      </c>
      <c r="B128" t="s">
        <v>187</v>
      </c>
      <c r="C128">
        <v>0.55733786678370745</v>
      </c>
    </row>
    <row r="129" spans="1:3" x14ac:dyDescent="0.2">
      <c r="A129">
        <v>164</v>
      </c>
      <c r="B129" t="s">
        <v>164</v>
      </c>
      <c r="C129">
        <v>0.55859176355673734</v>
      </c>
    </row>
    <row r="130" spans="1:3" x14ac:dyDescent="0.2">
      <c r="A130">
        <v>189</v>
      </c>
      <c r="B130" t="s">
        <v>189</v>
      </c>
      <c r="C130">
        <v>0.56014725540744514</v>
      </c>
    </row>
    <row r="131" spans="1:3" x14ac:dyDescent="0.2">
      <c r="A131">
        <v>211</v>
      </c>
      <c r="B131" t="s">
        <v>211</v>
      </c>
      <c r="C131">
        <v>0.56413176208366433</v>
      </c>
    </row>
    <row r="132" spans="1:3" x14ac:dyDescent="0.2">
      <c r="A132">
        <v>155</v>
      </c>
      <c r="B132" t="s">
        <v>155</v>
      </c>
      <c r="C132">
        <v>0.57277352932582071</v>
      </c>
    </row>
    <row r="133" spans="1:3" x14ac:dyDescent="0.2">
      <c r="A133">
        <v>7</v>
      </c>
      <c r="B133" t="s">
        <v>7</v>
      </c>
      <c r="C133">
        <v>0.57512207644901636</v>
      </c>
    </row>
    <row r="134" spans="1:3" x14ac:dyDescent="0.2">
      <c r="A134">
        <v>108</v>
      </c>
      <c r="B134" t="s">
        <v>108</v>
      </c>
      <c r="C134">
        <v>0.57618223148703407</v>
      </c>
    </row>
    <row r="135" spans="1:3" x14ac:dyDescent="0.2">
      <c r="A135">
        <v>201</v>
      </c>
      <c r="B135" t="s">
        <v>201</v>
      </c>
      <c r="C135">
        <v>0.57623906528517554</v>
      </c>
    </row>
    <row r="136" spans="1:3" x14ac:dyDescent="0.2">
      <c r="A136">
        <v>214</v>
      </c>
      <c r="B136" t="s">
        <v>214</v>
      </c>
      <c r="C136">
        <v>0.58005658787982917</v>
      </c>
    </row>
    <row r="137" spans="1:3" x14ac:dyDescent="0.2">
      <c r="A137">
        <v>159</v>
      </c>
      <c r="B137" t="s">
        <v>159</v>
      </c>
      <c r="C137">
        <v>0.58191558959132716</v>
      </c>
    </row>
    <row r="138" spans="1:3" x14ac:dyDescent="0.2">
      <c r="A138">
        <v>139</v>
      </c>
      <c r="B138" t="s">
        <v>139</v>
      </c>
      <c r="C138">
        <v>0.58262187438576651</v>
      </c>
    </row>
    <row r="139" spans="1:3" x14ac:dyDescent="0.2">
      <c r="A139">
        <v>48</v>
      </c>
      <c r="B139" t="s">
        <v>48</v>
      </c>
      <c r="C139">
        <v>0.58267382424656278</v>
      </c>
    </row>
    <row r="140" spans="1:3" x14ac:dyDescent="0.2">
      <c r="A140">
        <v>238</v>
      </c>
      <c r="B140" t="s">
        <v>238</v>
      </c>
      <c r="C140">
        <v>0.58464361651794805</v>
      </c>
    </row>
    <row r="141" spans="1:3" x14ac:dyDescent="0.2">
      <c r="A141">
        <v>175</v>
      </c>
      <c r="B141" t="s">
        <v>175</v>
      </c>
      <c r="C141">
        <v>0.58744950919305794</v>
      </c>
    </row>
    <row r="142" spans="1:3" x14ac:dyDescent="0.2">
      <c r="A142">
        <v>88</v>
      </c>
      <c r="B142" t="s">
        <v>88</v>
      </c>
      <c r="C142">
        <v>0.5879126847323034</v>
      </c>
    </row>
    <row r="143" spans="1:3" x14ac:dyDescent="0.2">
      <c r="A143">
        <v>220</v>
      </c>
      <c r="B143" t="s">
        <v>220</v>
      </c>
      <c r="C143">
        <v>0.59032135494466831</v>
      </c>
    </row>
    <row r="144" spans="1:3" x14ac:dyDescent="0.2">
      <c r="A144">
        <v>205</v>
      </c>
      <c r="B144" t="s">
        <v>205</v>
      </c>
      <c r="C144">
        <v>0.59226310149204553</v>
      </c>
    </row>
    <row r="145" spans="1:3" x14ac:dyDescent="0.2">
      <c r="A145">
        <v>54</v>
      </c>
      <c r="B145" t="s">
        <v>54</v>
      </c>
      <c r="C145">
        <v>0.5977260102701063</v>
      </c>
    </row>
    <row r="146" spans="1:3" x14ac:dyDescent="0.2">
      <c r="A146">
        <v>183</v>
      </c>
      <c r="B146" t="s">
        <v>183</v>
      </c>
      <c r="C146">
        <v>0.59900606095920483</v>
      </c>
    </row>
    <row r="147" spans="1:3" x14ac:dyDescent="0.2">
      <c r="A147">
        <v>2</v>
      </c>
      <c r="B147" t="s">
        <v>2</v>
      </c>
      <c r="C147">
        <v>0.60267855891177879</v>
      </c>
    </row>
    <row r="148" spans="1:3" x14ac:dyDescent="0.2">
      <c r="A148">
        <v>49</v>
      </c>
      <c r="B148" t="s">
        <v>49</v>
      </c>
      <c r="C148">
        <v>0.60812161605481652</v>
      </c>
    </row>
    <row r="149" spans="1:3" x14ac:dyDescent="0.2">
      <c r="A149">
        <v>172</v>
      </c>
      <c r="B149" t="s">
        <v>172</v>
      </c>
      <c r="C149">
        <v>0.6091138346397954</v>
      </c>
    </row>
    <row r="150" spans="1:3" x14ac:dyDescent="0.2">
      <c r="A150">
        <v>91</v>
      </c>
      <c r="B150" t="s">
        <v>91</v>
      </c>
      <c r="C150">
        <v>0.60975110838083846</v>
      </c>
    </row>
    <row r="151" spans="1:3" x14ac:dyDescent="0.2">
      <c r="A151">
        <v>69</v>
      </c>
      <c r="B151" t="s">
        <v>69</v>
      </c>
      <c r="C151">
        <v>0.62073940036711805</v>
      </c>
    </row>
    <row r="152" spans="1:3" x14ac:dyDescent="0.2">
      <c r="A152">
        <v>70</v>
      </c>
      <c r="B152" t="s">
        <v>70</v>
      </c>
      <c r="C152">
        <v>0.63084308707271519</v>
      </c>
    </row>
    <row r="153" spans="1:3" x14ac:dyDescent="0.2">
      <c r="A153">
        <v>124</v>
      </c>
      <c r="B153" t="s">
        <v>124</v>
      </c>
      <c r="C153">
        <v>0.63507480556915774</v>
      </c>
    </row>
    <row r="154" spans="1:3" x14ac:dyDescent="0.2">
      <c r="A154">
        <v>12</v>
      </c>
      <c r="B154" t="s">
        <v>12</v>
      </c>
      <c r="C154">
        <v>0.63561043542573825</v>
      </c>
    </row>
    <row r="155" spans="1:3" x14ac:dyDescent="0.2">
      <c r="A155">
        <v>95</v>
      </c>
      <c r="B155" t="s">
        <v>95</v>
      </c>
      <c r="C155">
        <v>0.63767071606626125</v>
      </c>
    </row>
    <row r="156" spans="1:3" x14ac:dyDescent="0.2">
      <c r="A156">
        <v>5</v>
      </c>
      <c r="B156" t="s">
        <v>5</v>
      </c>
      <c r="C156">
        <v>0.63857077440346288</v>
      </c>
    </row>
    <row r="157" spans="1:3" x14ac:dyDescent="0.2">
      <c r="A157">
        <v>154</v>
      </c>
      <c r="B157" t="s">
        <v>154</v>
      </c>
      <c r="C157">
        <v>0.64260935184688317</v>
      </c>
    </row>
    <row r="158" spans="1:3" x14ac:dyDescent="0.2">
      <c r="A158">
        <v>240</v>
      </c>
      <c r="B158" t="s">
        <v>240</v>
      </c>
      <c r="C158">
        <v>0.64623351464760848</v>
      </c>
    </row>
    <row r="159" spans="1:3" x14ac:dyDescent="0.2">
      <c r="A159">
        <v>103</v>
      </c>
      <c r="B159" t="s">
        <v>103</v>
      </c>
      <c r="C159">
        <v>0.64905060739436915</v>
      </c>
    </row>
    <row r="160" spans="1:3" x14ac:dyDescent="0.2">
      <c r="A160">
        <v>1</v>
      </c>
      <c r="B160" t="s">
        <v>1</v>
      </c>
      <c r="C160">
        <v>0.65180905665204025</v>
      </c>
    </row>
    <row r="161" spans="1:3" x14ac:dyDescent="0.2">
      <c r="A161">
        <v>143</v>
      </c>
      <c r="B161" t="s">
        <v>143</v>
      </c>
      <c r="C161">
        <v>0.65477088277656925</v>
      </c>
    </row>
    <row r="162" spans="1:3" x14ac:dyDescent="0.2">
      <c r="A162">
        <v>166</v>
      </c>
      <c r="B162" t="s">
        <v>166</v>
      </c>
      <c r="C162">
        <v>0.65973473719978948</v>
      </c>
    </row>
    <row r="163" spans="1:3" x14ac:dyDescent="0.2">
      <c r="A163">
        <v>113</v>
      </c>
      <c r="B163" t="s">
        <v>113</v>
      </c>
      <c r="C163">
        <v>0.66745747707174519</v>
      </c>
    </row>
    <row r="164" spans="1:3" x14ac:dyDescent="0.2">
      <c r="A164">
        <v>28</v>
      </c>
      <c r="B164" t="s">
        <v>28</v>
      </c>
      <c r="C164">
        <v>0.67531707182488121</v>
      </c>
    </row>
    <row r="165" spans="1:3" x14ac:dyDescent="0.2">
      <c r="A165">
        <v>195</v>
      </c>
      <c r="B165" t="s">
        <v>195</v>
      </c>
      <c r="C165">
        <v>0.68038521693616572</v>
      </c>
    </row>
    <row r="166" spans="1:3" x14ac:dyDescent="0.2">
      <c r="A166">
        <v>121</v>
      </c>
      <c r="B166" t="s">
        <v>121</v>
      </c>
      <c r="C166">
        <v>0.68455546139535084</v>
      </c>
    </row>
    <row r="167" spans="1:3" x14ac:dyDescent="0.2">
      <c r="A167">
        <v>52</v>
      </c>
      <c r="B167" t="s">
        <v>52</v>
      </c>
      <c r="C167">
        <v>0.68525984055522082</v>
      </c>
    </row>
    <row r="168" spans="1:3" x14ac:dyDescent="0.2">
      <c r="A168">
        <v>18</v>
      </c>
      <c r="B168" t="s">
        <v>18</v>
      </c>
      <c r="C168">
        <v>0.68749441541656964</v>
      </c>
    </row>
    <row r="169" spans="1:3" x14ac:dyDescent="0.2">
      <c r="A169">
        <v>112</v>
      </c>
      <c r="B169" t="s">
        <v>112</v>
      </c>
      <c r="C169">
        <v>0.68932938792665976</v>
      </c>
    </row>
    <row r="170" spans="1:3" x14ac:dyDescent="0.2">
      <c r="A170">
        <v>94</v>
      </c>
      <c r="B170" t="s">
        <v>94</v>
      </c>
      <c r="C170">
        <v>0.69138599184117078</v>
      </c>
    </row>
    <row r="171" spans="1:3" x14ac:dyDescent="0.2">
      <c r="A171">
        <v>202</v>
      </c>
      <c r="B171" t="s">
        <v>202</v>
      </c>
      <c r="C171">
        <v>0.69507551788607036</v>
      </c>
    </row>
    <row r="172" spans="1:3" x14ac:dyDescent="0.2">
      <c r="A172">
        <v>228</v>
      </c>
      <c r="B172" t="s">
        <v>228</v>
      </c>
      <c r="C172">
        <v>0.70046521331867539</v>
      </c>
    </row>
    <row r="173" spans="1:3" x14ac:dyDescent="0.2">
      <c r="A173">
        <v>197</v>
      </c>
      <c r="B173" t="s">
        <v>197</v>
      </c>
      <c r="C173">
        <v>0.71166096620679908</v>
      </c>
    </row>
    <row r="174" spans="1:3" x14ac:dyDescent="0.2">
      <c r="A174">
        <v>116</v>
      </c>
      <c r="B174" t="s">
        <v>116</v>
      </c>
      <c r="C174">
        <v>0.71285304643083014</v>
      </c>
    </row>
    <row r="175" spans="1:3" x14ac:dyDescent="0.2">
      <c r="A175">
        <v>62</v>
      </c>
      <c r="B175" t="s">
        <v>62</v>
      </c>
      <c r="C175">
        <v>0.71698694824319353</v>
      </c>
    </row>
    <row r="176" spans="1:3" x14ac:dyDescent="0.2">
      <c r="A176">
        <v>180</v>
      </c>
      <c r="B176" t="s">
        <v>180</v>
      </c>
      <c r="C176">
        <v>0.72042255028930879</v>
      </c>
    </row>
    <row r="177" spans="1:3" x14ac:dyDescent="0.2">
      <c r="A177">
        <v>181</v>
      </c>
      <c r="B177" t="s">
        <v>181</v>
      </c>
      <c r="C177">
        <v>0.72497704575144306</v>
      </c>
    </row>
    <row r="178" spans="1:3" x14ac:dyDescent="0.2">
      <c r="A178">
        <v>21</v>
      </c>
      <c r="B178" t="s">
        <v>21</v>
      </c>
      <c r="C178">
        <v>0.72575227399939723</v>
      </c>
    </row>
    <row r="179" spans="1:3" x14ac:dyDescent="0.2">
      <c r="A179">
        <v>206</v>
      </c>
      <c r="B179" t="s">
        <v>206</v>
      </c>
      <c r="C179">
        <v>0.72646181067192572</v>
      </c>
    </row>
    <row r="180" spans="1:3" x14ac:dyDescent="0.2">
      <c r="A180">
        <v>114</v>
      </c>
      <c r="B180" t="s">
        <v>114</v>
      </c>
      <c r="C180">
        <v>0.72792178753931924</v>
      </c>
    </row>
    <row r="181" spans="1:3" x14ac:dyDescent="0.2">
      <c r="A181">
        <v>75</v>
      </c>
      <c r="B181" t="s">
        <v>75</v>
      </c>
      <c r="C181">
        <v>0.72993775713173492</v>
      </c>
    </row>
    <row r="182" spans="1:3" x14ac:dyDescent="0.2">
      <c r="A182">
        <v>74</v>
      </c>
      <c r="B182" t="s">
        <v>74</v>
      </c>
      <c r="C182">
        <v>0.732175788955298</v>
      </c>
    </row>
    <row r="183" spans="1:3" x14ac:dyDescent="0.2">
      <c r="A183">
        <v>72</v>
      </c>
      <c r="B183" t="s">
        <v>72</v>
      </c>
      <c r="C183">
        <v>0.75274733492789381</v>
      </c>
    </row>
    <row r="184" spans="1:3" x14ac:dyDescent="0.2">
      <c r="A184">
        <v>146</v>
      </c>
      <c r="B184" t="s">
        <v>146</v>
      </c>
      <c r="C184">
        <v>0.75427628990059037</v>
      </c>
    </row>
    <row r="185" spans="1:3" x14ac:dyDescent="0.2">
      <c r="A185">
        <v>11</v>
      </c>
      <c r="B185" t="s">
        <v>11</v>
      </c>
      <c r="C185">
        <v>0.76413435854947487</v>
      </c>
    </row>
    <row r="186" spans="1:3" x14ac:dyDescent="0.2">
      <c r="A186">
        <v>50</v>
      </c>
      <c r="B186" t="s">
        <v>50</v>
      </c>
      <c r="C186">
        <v>0.7647726029829468</v>
      </c>
    </row>
    <row r="187" spans="1:3" x14ac:dyDescent="0.2">
      <c r="A187">
        <v>135</v>
      </c>
      <c r="B187" t="s">
        <v>135</v>
      </c>
      <c r="C187">
        <v>0.78905224540543151</v>
      </c>
    </row>
    <row r="188" spans="1:3" x14ac:dyDescent="0.2">
      <c r="A188">
        <v>221</v>
      </c>
      <c r="B188" t="s">
        <v>221</v>
      </c>
      <c r="C188">
        <v>0.78925376390084789</v>
      </c>
    </row>
    <row r="189" spans="1:3" x14ac:dyDescent="0.2">
      <c r="A189">
        <v>59</v>
      </c>
      <c r="B189" t="s">
        <v>59</v>
      </c>
      <c r="C189">
        <v>0.79072997945744317</v>
      </c>
    </row>
    <row r="190" spans="1:3" x14ac:dyDescent="0.2">
      <c r="A190">
        <v>215</v>
      </c>
      <c r="B190" t="s">
        <v>215</v>
      </c>
      <c r="C190">
        <v>0.793572419403895</v>
      </c>
    </row>
    <row r="191" spans="1:3" x14ac:dyDescent="0.2">
      <c r="A191">
        <v>225</v>
      </c>
      <c r="B191" t="s">
        <v>225</v>
      </c>
      <c r="C191">
        <v>0.79357387326775497</v>
      </c>
    </row>
    <row r="192" spans="1:3" x14ac:dyDescent="0.2">
      <c r="A192">
        <v>196</v>
      </c>
      <c r="B192" t="s">
        <v>196</v>
      </c>
      <c r="C192">
        <v>0.79615757451150881</v>
      </c>
    </row>
    <row r="193" spans="1:3" x14ac:dyDescent="0.2">
      <c r="A193">
        <v>186</v>
      </c>
      <c r="B193" t="s">
        <v>186</v>
      </c>
      <c r="C193">
        <v>0.80339128958803907</v>
      </c>
    </row>
    <row r="194" spans="1:3" x14ac:dyDescent="0.2">
      <c r="A194">
        <v>110</v>
      </c>
      <c r="B194" t="s">
        <v>110</v>
      </c>
      <c r="C194">
        <v>0.80655819252785355</v>
      </c>
    </row>
    <row r="195" spans="1:3" x14ac:dyDescent="0.2">
      <c r="A195">
        <v>92</v>
      </c>
      <c r="B195" t="s">
        <v>92</v>
      </c>
      <c r="C195">
        <v>0.8119419695590826</v>
      </c>
    </row>
    <row r="196" spans="1:3" x14ac:dyDescent="0.2">
      <c r="A196">
        <v>83</v>
      </c>
      <c r="B196" t="s">
        <v>83</v>
      </c>
      <c r="C196">
        <v>0.81204194749591707</v>
      </c>
    </row>
    <row r="197" spans="1:3" x14ac:dyDescent="0.2">
      <c r="A197">
        <v>134</v>
      </c>
      <c r="B197" t="s">
        <v>134</v>
      </c>
      <c r="C197">
        <v>0.8134220438935934</v>
      </c>
    </row>
    <row r="198" spans="1:3" x14ac:dyDescent="0.2">
      <c r="A198">
        <v>194</v>
      </c>
      <c r="B198" t="s">
        <v>194</v>
      </c>
      <c r="C198">
        <v>0.813980522142981</v>
      </c>
    </row>
    <row r="199" spans="1:3" x14ac:dyDescent="0.2">
      <c r="A199">
        <v>153</v>
      </c>
      <c r="B199" t="s">
        <v>153</v>
      </c>
      <c r="C199">
        <v>0.81459143393710998</v>
      </c>
    </row>
    <row r="200" spans="1:3" x14ac:dyDescent="0.2">
      <c r="A200">
        <v>130</v>
      </c>
      <c r="B200" t="s">
        <v>130</v>
      </c>
      <c r="C200">
        <v>0.8179133270804344</v>
      </c>
    </row>
    <row r="201" spans="1:3" x14ac:dyDescent="0.2">
      <c r="A201">
        <v>167</v>
      </c>
      <c r="B201" t="s">
        <v>167</v>
      </c>
      <c r="C201">
        <v>0.81889769781533972</v>
      </c>
    </row>
    <row r="202" spans="1:3" x14ac:dyDescent="0.2">
      <c r="A202">
        <v>93</v>
      </c>
      <c r="B202" t="s">
        <v>93</v>
      </c>
      <c r="C202">
        <v>0.81945132867980153</v>
      </c>
    </row>
    <row r="203" spans="1:3" x14ac:dyDescent="0.2">
      <c r="A203">
        <v>86</v>
      </c>
      <c r="B203" t="s">
        <v>86</v>
      </c>
      <c r="C203">
        <v>0.81946050740956966</v>
      </c>
    </row>
    <row r="204" spans="1:3" x14ac:dyDescent="0.2">
      <c r="A204">
        <v>243</v>
      </c>
      <c r="B204" t="s">
        <v>243</v>
      </c>
      <c r="C204">
        <v>0.82857348346263249</v>
      </c>
    </row>
    <row r="205" spans="1:3" x14ac:dyDescent="0.2">
      <c r="A205">
        <v>58</v>
      </c>
      <c r="B205" t="s">
        <v>58</v>
      </c>
      <c r="C205">
        <v>0.83852328832720802</v>
      </c>
    </row>
    <row r="206" spans="1:3" x14ac:dyDescent="0.2">
      <c r="A206">
        <v>227</v>
      </c>
      <c r="B206" t="s">
        <v>227</v>
      </c>
      <c r="C206">
        <v>0.84243063895010395</v>
      </c>
    </row>
    <row r="207" spans="1:3" x14ac:dyDescent="0.2">
      <c r="A207">
        <v>157</v>
      </c>
      <c r="B207" t="s">
        <v>157</v>
      </c>
      <c r="C207">
        <v>0.84534236197134927</v>
      </c>
    </row>
    <row r="208" spans="1:3" x14ac:dyDescent="0.2">
      <c r="A208">
        <v>44</v>
      </c>
      <c r="B208" t="s">
        <v>44</v>
      </c>
      <c r="C208">
        <v>0.85077194369570397</v>
      </c>
    </row>
    <row r="209" spans="1:3" x14ac:dyDescent="0.2">
      <c r="A209">
        <v>33</v>
      </c>
      <c r="B209" t="s">
        <v>33</v>
      </c>
      <c r="C209">
        <v>0.85398089298313917</v>
      </c>
    </row>
    <row r="210" spans="1:3" x14ac:dyDescent="0.2">
      <c r="A210">
        <v>34</v>
      </c>
      <c r="B210" t="s">
        <v>34</v>
      </c>
      <c r="C210">
        <v>0.85503885079838027</v>
      </c>
    </row>
    <row r="211" spans="1:3" x14ac:dyDescent="0.2">
      <c r="A211">
        <v>152</v>
      </c>
      <c r="B211" t="s">
        <v>152</v>
      </c>
      <c r="C211">
        <v>0.85601196546114444</v>
      </c>
    </row>
    <row r="212" spans="1:3" x14ac:dyDescent="0.2">
      <c r="A212">
        <v>176</v>
      </c>
      <c r="B212" t="s">
        <v>176</v>
      </c>
      <c r="C212">
        <v>0.85743900114145521</v>
      </c>
    </row>
    <row r="213" spans="1:3" x14ac:dyDescent="0.2">
      <c r="A213">
        <v>66</v>
      </c>
      <c r="B213" t="s">
        <v>66</v>
      </c>
      <c r="C213">
        <v>0.86437072730198672</v>
      </c>
    </row>
    <row r="214" spans="1:3" x14ac:dyDescent="0.2">
      <c r="A214">
        <v>42</v>
      </c>
      <c r="B214" t="s">
        <v>42</v>
      </c>
      <c r="C214">
        <v>0.86597537942718739</v>
      </c>
    </row>
    <row r="215" spans="1:3" x14ac:dyDescent="0.2">
      <c r="A215">
        <v>53</v>
      </c>
      <c r="B215" t="s">
        <v>53</v>
      </c>
      <c r="C215">
        <v>0.86781291929149429</v>
      </c>
    </row>
    <row r="216" spans="1:3" x14ac:dyDescent="0.2">
      <c r="A216">
        <v>35</v>
      </c>
      <c r="B216" t="s">
        <v>35</v>
      </c>
      <c r="C216">
        <v>0.87346566394746805</v>
      </c>
    </row>
    <row r="217" spans="1:3" x14ac:dyDescent="0.2">
      <c r="A217">
        <v>55</v>
      </c>
      <c r="B217" t="s">
        <v>55</v>
      </c>
      <c r="C217">
        <v>0.87874035156457819</v>
      </c>
    </row>
    <row r="218" spans="1:3" x14ac:dyDescent="0.2">
      <c r="A218">
        <v>177</v>
      </c>
      <c r="B218" t="s">
        <v>177</v>
      </c>
      <c r="C218">
        <v>0.88042331751386793</v>
      </c>
    </row>
    <row r="219" spans="1:3" x14ac:dyDescent="0.2">
      <c r="A219">
        <v>107</v>
      </c>
      <c r="B219" t="s">
        <v>107</v>
      </c>
      <c r="C219">
        <v>0.88729352296610087</v>
      </c>
    </row>
    <row r="220" spans="1:3" x14ac:dyDescent="0.2">
      <c r="A220">
        <v>63</v>
      </c>
      <c r="B220" t="s">
        <v>63</v>
      </c>
      <c r="C220">
        <v>0.89602925687874491</v>
      </c>
    </row>
    <row r="221" spans="1:3" x14ac:dyDescent="0.2">
      <c r="A221">
        <v>156</v>
      </c>
      <c r="B221" t="s">
        <v>156</v>
      </c>
      <c r="C221">
        <v>0.89658770339636773</v>
      </c>
    </row>
    <row r="222" spans="1:3" x14ac:dyDescent="0.2">
      <c r="A222">
        <v>36</v>
      </c>
      <c r="B222" t="s">
        <v>36</v>
      </c>
      <c r="C222">
        <v>0.90416116473394104</v>
      </c>
    </row>
    <row r="223" spans="1:3" x14ac:dyDescent="0.2">
      <c r="A223">
        <v>37</v>
      </c>
      <c r="B223" t="s">
        <v>37</v>
      </c>
      <c r="C223">
        <v>0.90535409407959355</v>
      </c>
    </row>
    <row r="224" spans="1:3" x14ac:dyDescent="0.2">
      <c r="A224">
        <v>98</v>
      </c>
      <c r="B224" t="s">
        <v>98</v>
      </c>
      <c r="C224">
        <v>0.91228358500200679</v>
      </c>
    </row>
    <row r="225" spans="1:3" x14ac:dyDescent="0.2">
      <c r="A225">
        <v>232</v>
      </c>
      <c r="B225" t="s">
        <v>232</v>
      </c>
      <c r="C225">
        <v>0.9198502198476155</v>
      </c>
    </row>
    <row r="226" spans="1:3" x14ac:dyDescent="0.2">
      <c r="A226">
        <v>150</v>
      </c>
      <c r="B226" t="s">
        <v>150</v>
      </c>
      <c r="C226">
        <v>0.92168053073215106</v>
      </c>
    </row>
    <row r="227" spans="1:3" x14ac:dyDescent="0.2">
      <c r="A227">
        <v>136</v>
      </c>
      <c r="B227" t="s">
        <v>136</v>
      </c>
      <c r="C227">
        <v>0.9299898394779762</v>
      </c>
    </row>
    <row r="228" spans="1:3" x14ac:dyDescent="0.2">
      <c r="A228">
        <v>234</v>
      </c>
      <c r="B228" t="s">
        <v>234</v>
      </c>
      <c r="C228">
        <v>0.93101876765221458</v>
      </c>
    </row>
    <row r="229" spans="1:3" x14ac:dyDescent="0.2">
      <c r="A229">
        <v>109</v>
      </c>
      <c r="B229" t="s">
        <v>109</v>
      </c>
      <c r="C229">
        <v>0.93299246294245219</v>
      </c>
    </row>
    <row r="230" spans="1:3" x14ac:dyDescent="0.2">
      <c r="A230">
        <v>138</v>
      </c>
      <c r="B230" t="s">
        <v>138</v>
      </c>
      <c r="C230">
        <v>0.94197459074370016</v>
      </c>
    </row>
    <row r="231" spans="1:3" x14ac:dyDescent="0.2">
      <c r="A231">
        <v>237</v>
      </c>
      <c r="B231" t="s">
        <v>237</v>
      </c>
      <c r="C231">
        <v>0.94776373479361486</v>
      </c>
    </row>
    <row r="232" spans="1:3" x14ac:dyDescent="0.2">
      <c r="A232">
        <v>173</v>
      </c>
      <c r="B232" t="s">
        <v>173</v>
      </c>
      <c r="C232">
        <v>0.95129564431855818</v>
      </c>
    </row>
    <row r="233" spans="1:3" x14ac:dyDescent="0.2">
      <c r="A233">
        <v>209</v>
      </c>
      <c r="B233" t="s">
        <v>209</v>
      </c>
      <c r="C233">
        <v>0.95272268073710342</v>
      </c>
    </row>
    <row r="234" spans="1:3" x14ac:dyDescent="0.2">
      <c r="A234">
        <v>23</v>
      </c>
      <c r="B234" t="s">
        <v>23</v>
      </c>
      <c r="C234">
        <v>0.9530236987859847</v>
      </c>
    </row>
    <row r="235" spans="1:3" x14ac:dyDescent="0.2">
      <c r="A235">
        <v>231</v>
      </c>
      <c r="B235" t="s">
        <v>231</v>
      </c>
      <c r="C235">
        <v>0.95564729822459582</v>
      </c>
    </row>
    <row r="236" spans="1:3" x14ac:dyDescent="0.2">
      <c r="A236">
        <v>82</v>
      </c>
      <c r="B236" t="s">
        <v>82</v>
      </c>
      <c r="C236">
        <v>0.96100889871573081</v>
      </c>
    </row>
    <row r="237" spans="1:3" x14ac:dyDescent="0.2">
      <c r="A237">
        <v>160</v>
      </c>
      <c r="B237" t="s">
        <v>160</v>
      </c>
      <c r="C237">
        <v>0.96612413302449762</v>
      </c>
    </row>
    <row r="238" spans="1:3" x14ac:dyDescent="0.2">
      <c r="A238">
        <v>79</v>
      </c>
      <c r="B238" t="s">
        <v>79</v>
      </c>
      <c r="C238">
        <v>0.96864647127807979</v>
      </c>
    </row>
    <row r="239" spans="1:3" x14ac:dyDescent="0.2">
      <c r="A239">
        <v>216</v>
      </c>
      <c r="B239" t="s">
        <v>216</v>
      </c>
      <c r="C239">
        <v>0.97021171763093839</v>
      </c>
    </row>
    <row r="240" spans="1:3" x14ac:dyDescent="0.2">
      <c r="A240">
        <v>233</v>
      </c>
      <c r="B240" t="s">
        <v>233</v>
      </c>
      <c r="C240">
        <v>0.9830956449697057</v>
      </c>
    </row>
    <row r="241" spans="1:3" x14ac:dyDescent="0.2">
      <c r="A241">
        <v>14</v>
      </c>
      <c r="B241" t="s">
        <v>14</v>
      </c>
      <c r="C241">
        <v>0.98597509870007038</v>
      </c>
    </row>
    <row r="242" spans="1:3" x14ac:dyDescent="0.2">
      <c r="A242">
        <v>90</v>
      </c>
      <c r="B242" t="s">
        <v>90</v>
      </c>
      <c r="C242">
        <v>0.98860111546943719</v>
      </c>
    </row>
    <row r="243" spans="1:3" ht="12" customHeight="1" x14ac:dyDescent="0.2">
      <c r="A243">
        <v>89</v>
      </c>
      <c r="B243" t="s">
        <v>89</v>
      </c>
      <c r="C243">
        <v>0.98940447900780581</v>
      </c>
    </row>
    <row r="244" spans="1:3" x14ac:dyDescent="0.2">
      <c r="A244">
        <v>101</v>
      </c>
      <c r="B244" t="s">
        <v>101</v>
      </c>
      <c r="C244">
        <v>0.99347134207908894</v>
      </c>
    </row>
    <row r="245" spans="1:3" x14ac:dyDescent="0.2">
      <c r="A245">
        <v>171</v>
      </c>
      <c r="B245" t="s">
        <v>171</v>
      </c>
      <c r="C245">
        <v>0.99531529065248181</v>
      </c>
    </row>
  </sheetData>
  <sortState xmlns:xlrd2="http://schemas.microsoft.com/office/spreadsheetml/2017/richdata2" ref="A3:C245">
    <sortCondition ref="C221:C245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5EB21-3D45-4548-9487-EC1B34DD47CB}">
  <dimension ref="A1:G42"/>
  <sheetViews>
    <sheetView workbookViewId="0">
      <selection sqref="A1:B31"/>
    </sheetView>
  </sheetViews>
  <sheetFormatPr baseColWidth="10" defaultRowHeight="15" x14ac:dyDescent="0.2"/>
  <cols>
    <col min="1" max="1" width="30.5" customWidth="1"/>
    <col min="2" max="2" width="17.1640625" customWidth="1"/>
    <col min="6" max="6" width="17.6640625" customWidth="1"/>
    <col min="7" max="7" width="14.83203125" customWidth="1"/>
  </cols>
  <sheetData>
    <row r="1" spans="1:7" ht="19" x14ac:dyDescent="0.25">
      <c r="A1" s="5" t="s">
        <v>0</v>
      </c>
      <c r="B1" s="5" t="s">
        <v>327</v>
      </c>
      <c r="D1" s="5" t="s">
        <v>324</v>
      </c>
      <c r="F1" s="8" t="s">
        <v>325</v>
      </c>
      <c r="G1" s="8" t="s">
        <v>326</v>
      </c>
    </row>
    <row r="2" spans="1:7" ht="19" x14ac:dyDescent="0.25">
      <c r="A2" s="5" t="s">
        <v>105</v>
      </c>
      <c r="B2" s="9">
        <v>86781</v>
      </c>
      <c r="D2" s="9">
        <v>3889</v>
      </c>
      <c r="F2" s="9" t="s">
        <v>329</v>
      </c>
      <c r="G2" s="5">
        <v>7</v>
      </c>
    </row>
    <row r="3" spans="1:7" ht="19" x14ac:dyDescent="0.25">
      <c r="A3" s="5" t="s">
        <v>41</v>
      </c>
      <c r="B3" s="9">
        <v>71549</v>
      </c>
      <c r="D3" s="9">
        <v>6220</v>
      </c>
      <c r="F3" s="9" t="s">
        <v>330</v>
      </c>
      <c r="G3" s="5">
        <v>8</v>
      </c>
    </row>
    <row r="4" spans="1:7" ht="19" x14ac:dyDescent="0.25">
      <c r="A4" s="5" t="s">
        <v>229</v>
      </c>
      <c r="B4" s="9">
        <v>67119</v>
      </c>
      <c r="D4" s="9">
        <v>17767</v>
      </c>
      <c r="F4" s="9" t="s">
        <v>331</v>
      </c>
      <c r="G4" s="5">
        <v>6</v>
      </c>
    </row>
    <row r="5" spans="1:7" ht="19" x14ac:dyDescent="0.25">
      <c r="A5" s="5" t="s">
        <v>111</v>
      </c>
      <c r="B5" s="9">
        <v>56600</v>
      </c>
      <c r="D5" s="9">
        <v>46184</v>
      </c>
      <c r="F5" s="9" t="s">
        <v>332</v>
      </c>
      <c r="G5" s="5">
        <v>4</v>
      </c>
    </row>
    <row r="6" spans="1:7" ht="20" thickBot="1" x14ac:dyDescent="0.3">
      <c r="A6" s="5" t="s">
        <v>40</v>
      </c>
      <c r="B6" s="9">
        <v>49031</v>
      </c>
      <c r="F6" s="10" t="s">
        <v>333</v>
      </c>
      <c r="G6" s="10">
        <v>5</v>
      </c>
    </row>
    <row r="7" spans="1:7" ht="19" x14ac:dyDescent="0.25">
      <c r="A7" s="5" t="s">
        <v>76</v>
      </c>
      <c r="B7" s="9">
        <v>46184</v>
      </c>
    </row>
    <row r="8" spans="1:7" ht="19" x14ac:dyDescent="0.25">
      <c r="A8" s="5" t="s">
        <v>198</v>
      </c>
      <c r="B8" s="9">
        <v>32730</v>
      </c>
    </row>
    <row r="9" spans="1:7" ht="19" x14ac:dyDescent="0.25">
      <c r="A9" s="5" t="s">
        <v>122</v>
      </c>
      <c r="B9" s="9">
        <v>30898</v>
      </c>
    </row>
    <row r="10" spans="1:7" ht="19" x14ac:dyDescent="0.25">
      <c r="A10" s="5" t="s">
        <v>57</v>
      </c>
      <c r="B10" s="9">
        <v>24497</v>
      </c>
    </row>
    <row r="11" spans="1:7" ht="19" x14ac:dyDescent="0.25">
      <c r="A11" s="5" t="s">
        <v>27</v>
      </c>
      <c r="B11" s="9">
        <v>17767</v>
      </c>
    </row>
    <row r="12" spans="1:7" ht="19" x14ac:dyDescent="0.25">
      <c r="A12" s="5" t="s">
        <v>126</v>
      </c>
      <c r="B12" s="9">
        <v>15174</v>
      </c>
    </row>
    <row r="13" spans="1:7" ht="19" x14ac:dyDescent="0.25">
      <c r="A13" s="5" t="s">
        <v>29</v>
      </c>
      <c r="B13" s="9">
        <v>14652</v>
      </c>
    </row>
    <row r="14" spans="1:7" ht="19" x14ac:dyDescent="0.25">
      <c r="A14" s="5" t="s">
        <v>102</v>
      </c>
      <c r="B14" s="9">
        <v>11812</v>
      </c>
    </row>
    <row r="15" spans="1:7" ht="19" x14ac:dyDescent="0.25">
      <c r="A15" s="5" t="s">
        <v>3</v>
      </c>
      <c r="B15" s="9">
        <v>11511</v>
      </c>
    </row>
    <row r="16" spans="1:7" ht="19" x14ac:dyDescent="0.25">
      <c r="A16" s="5" t="s">
        <v>222</v>
      </c>
      <c r="B16" s="9">
        <v>10756</v>
      </c>
    </row>
    <row r="17" spans="1:2" ht="19" x14ac:dyDescent="0.25">
      <c r="A17" s="5" t="s">
        <v>239</v>
      </c>
      <c r="B17" s="9">
        <v>6220</v>
      </c>
    </row>
    <row r="18" spans="1:2" ht="19" x14ac:dyDescent="0.25">
      <c r="A18" s="5" t="s">
        <v>81</v>
      </c>
      <c r="B18" s="9">
        <v>6220</v>
      </c>
    </row>
    <row r="19" spans="1:2" ht="19" x14ac:dyDescent="0.25">
      <c r="A19" s="5" t="s">
        <v>97</v>
      </c>
      <c r="B19" s="9">
        <v>5728</v>
      </c>
    </row>
    <row r="20" spans="1:2" ht="19" x14ac:dyDescent="0.25">
      <c r="A20" s="5" t="s">
        <v>84</v>
      </c>
      <c r="B20" s="9">
        <v>5413</v>
      </c>
    </row>
    <row r="21" spans="1:2" ht="19" x14ac:dyDescent="0.25">
      <c r="A21" s="5" t="s">
        <v>120</v>
      </c>
      <c r="B21" s="9">
        <v>5253</v>
      </c>
    </row>
    <row r="22" spans="1:2" ht="19" x14ac:dyDescent="0.25">
      <c r="A22" s="5" t="s">
        <v>17</v>
      </c>
      <c r="B22" s="9">
        <v>4754</v>
      </c>
    </row>
    <row r="23" spans="1:2" ht="19" x14ac:dyDescent="0.25">
      <c r="A23" s="5" t="s">
        <v>38</v>
      </c>
      <c r="B23" s="9">
        <v>4389</v>
      </c>
    </row>
    <row r="24" spans="1:2" ht="19" x14ac:dyDescent="0.25">
      <c r="A24" s="5" t="s">
        <v>207</v>
      </c>
      <c r="B24" s="9">
        <v>3958</v>
      </c>
    </row>
    <row r="25" spans="1:2" ht="19" x14ac:dyDescent="0.25">
      <c r="A25" s="5" t="s">
        <v>137</v>
      </c>
      <c r="B25" s="9">
        <v>3889</v>
      </c>
    </row>
    <row r="26" spans="1:2" ht="19" x14ac:dyDescent="0.25">
      <c r="A26" s="5" t="s">
        <v>22</v>
      </c>
      <c r="B26" s="9">
        <v>3287</v>
      </c>
    </row>
    <row r="27" spans="1:2" ht="19" x14ac:dyDescent="0.25">
      <c r="A27" s="5" t="s">
        <v>200</v>
      </c>
      <c r="B27" s="9">
        <v>2663</v>
      </c>
    </row>
    <row r="28" spans="1:2" ht="19" x14ac:dyDescent="0.25">
      <c r="A28" s="5" t="s">
        <v>241</v>
      </c>
      <c r="B28" s="9">
        <v>2500</v>
      </c>
    </row>
    <row r="29" spans="1:2" ht="19" x14ac:dyDescent="0.25">
      <c r="A29" s="5" t="s">
        <v>204</v>
      </c>
      <c r="B29" s="9">
        <v>1600</v>
      </c>
    </row>
    <row r="30" spans="1:2" ht="19" x14ac:dyDescent="0.25">
      <c r="A30" s="5" t="s">
        <v>218</v>
      </c>
      <c r="B30" s="9">
        <v>1597</v>
      </c>
    </row>
    <row r="31" spans="1:2" ht="19" x14ac:dyDescent="0.25">
      <c r="A31" s="5" t="s">
        <v>132</v>
      </c>
      <c r="B31" s="9">
        <v>1060</v>
      </c>
    </row>
    <row r="36" spans="1:1" ht="19" x14ac:dyDescent="0.25">
      <c r="A36" s="5" t="s">
        <v>203</v>
      </c>
    </row>
    <row r="37" spans="1:1" ht="19" x14ac:dyDescent="0.25">
      <c r="A37" s="5" t="s">
        <v>30</v>
      </c>
    </row>
    <row r="38" spans="1:1" ht="19" x14ac:dyDescent="0.25">
      <c r="A38" s="5" t="s">
        <v>185</v>
      </c>
    </row>
    <row r="39" spans="1:1" ht="19" x14ac:dyDescent="0.25">
      <c r="A39" s="5" t="s">
        <v>106</v>
      </c>
    </row>
    <row r="40" spans="1:1" ht="19" x14ac:dyDescent="0.25">
      <c r="A40" s="5" t="s">
        <v>226</v>
      </c>
    </row>
    <row r="41" spans="1:1" ht="19" x14ac:dyDescent="0.25">
      <c r="A41" s="5" t="s">
        <v>77</v>
      </c>
    </row>
    <row r="42" spans="1:1" ht="19" x14ac:dyDescent="0.25">
      <c r="A42" s="5" t="s">
        <v>141</v>
      </c>
    </row>
  </sheetData>
  <sortState xmlns:xlrd2="http://schemas.microsoft.com/office/spreadsheetml/2017/richdata2" ref="F2:F5">
    <sortCondition ref="F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B357-8953-B946-8F53-B7D124A48CD6}">
  <dimension ref="A1:G42"/>
  <sheetViews>
    <sheetView tabSelected="1" workbookViewId="0">
      <selection activeCell="O11" sqref="O11"/>
    </sheetView>
  </sheetViews>
  <sheetFormatPr baseColWidth="10" defaultRowHeight="19" x14ac:dyDescent="0.25"/>
  <cols>
    <col min="1" max="1" width="30" style="5" customWidth="1"/>
    <col min="2" max="2" width="12.33203125" style="5" customWidth="1"/>
    <col min="4" max="4" width="11.6640625" style="5" customWidth="1"/>
    <col min="6" max="6" width="11.6640625" style="5" customWidth="1"/>
    <col min="7" max="7" width="13.5" style="5" customWidth="1"/>
  </cols>
  <sheetData>
    <row r="1" spans="1:7" x14ac:dyDescent="0.25">
      <c r="A1" s="5" t="s">
        <v>0</v>
      </c>
      <c r="B1" s="5" t="s">
        <v>247</v>
      </c>
      <c r="D1" s="5" t="s">
        <v>328</v>
      </c>
      <c r="F1" s="8" t="s">
        <v>325</v>
      </c>
      <c r="G1" s="8" t="s">
        <v>326</v>
      </c>
    </row>
    <row r="2" spans="1:7" x14ac:dyDescent="0.25">
      <c r="A2" s="5" t="s">
        <v>111</v>
      </c>
      <c r="B2" s="5">
        <v>0.3</v>
      </c>
      <c r="D2" s="5">
        <v>27.7</v>
      </c>
      <c r="F2" s="5" t="s">
        <v>334</v>
      </c>
      <c r="G2" s="5">
        <v>4</v>
      </c>
    </row>
    <row r="3" spans="1:7" x14ac:dyDescent="0.25">
      <c r="A3" s="5" t="s">
        <v>198</v>
      </c>
      <c r="B3" s="5">
        <v>25.2</v>
      </c>
      <c r="D3" s="5">
        <v>34.200000000000003</v>
      </c>
      <c r="F3" s="5" t="s">
        <v>335</v>
      </c>
      <c r="G3" s="5">
        <v>9</v>
      </c>
    </row>
    <row r="4" spans="1:7" x14ac:dyDescent="0.25">
      <c r="A4" s="5" t="s">
        <v>3</v>
      </c>
      <c r="B4" s="5">
        <v>27.6</v>
      </c>
      <c r="D4" s="5">
        <v>43.5</v>
      </c>
      <c r="F4" s="5" t="s">
        <v>336</v>
      </c>
      <c r="G4" s="5">
        <v>7</v>
      </c>
    </row>
    <row r="5" spans="1:7" x14ac:dyDescent="0.25">
      <c r="A5" s="5" t="s">
        <v>120</v>
      </c>
      <c r="B5" s="5">
        <v>27.7</v>
      </c>
      <c r="D5" s="5">
        <v>52.1</v>
      </c>
      <c r="F5" s="5" t="s">
        <v>337</v>
      </c>
      <c r="G5" s="5">
        <v>4</v>
      </c>
    </row>
    <row r="6" spans="1:7" ht="20" thickBot="1" x14ac:dyDescent="0.3">
      <c r="A6" s="5" t="s">
        <v>76</v>
      </c>
      <c r="B6" s="5">
        <v>31.6</v>
      </c>
      <c r="F6" s="10" t="s">
        <v>338</v>
      </c>
      <c r="G6" s="10">
        <v>2</v>
      </c>
    </row>
    <row r="7" spans="1:7" x14ac:dyDescent="0.25">
      <c r="A7" s="5" t="s">
        <v>17</v>
      </c>
      <c r="B7" s="5">
        <v>32.4</v>
      </c>
    </row>
    <row r="8" spans="1:7" x14ac:dyDescent="0.25">
      <c r="A8" s="5" t="s">
        <v>229</v>
      </c>
      <c r="B8" s="5">
        <v>32.5</v>
      </c>
    </row>
    <row r="9" spans="1:7" x14ac:dyDescent="0.25">
      <c r="A9" s="5" t="s">
        <v>222</v>
      </c>
      <c r="B9" s="5">
        <v>32.799999999999997</v>
      </c>
    </row>
    <row r="10" spans="1:7" x14ac:dyDescent="0.25">
      <c r="A10" s="5" t="s">
        <v>105</v>
      </c>
      <c r="B10" s="5">
        <v>32.799999999999997</v>
      </c>
    </row>
    <row r="11" spans="1:7" x14ac:dyDescent="0.25">
      <c r="A11" s="5" t="s">
        <v>40</v>
      </c>
      <c r="B11" s="5">
        <v>33.299999999999997</v>
      </c>
    </row>
    <row r="12" spans="1:7" x14ac:dyDescent="0.25">
      <c r="A12" s="5" t="s">
        <v>239</v>
      </c>
      <c r="B12" s="5">
        <v>33.700000000000003</v>
      </c>
    </row>
    <row r="13" spans="1:7" x14ac:dyDescent="0.25">
      <c r="A13" s="5" t="s">
        <v>81</v>
      </c>
      <c r="B13" s="5">
        <v>33.700000000000003</v>
      </c>
    </row>
    <row r="14" spans="1:7" x14ac:dyDescent="0.25">
      <c r="A14" s="5" t="s">
        <v>207</v>
      </c>
      <c r="B14" s="5">
        <v>34.200000000000003</v>
      </c>
    </row>
    <row r="15" spans="1:7" x14ac:dyDescent="0.25">
      <c r="A15" s="5" t="s">
        <v>122</v>
      </c>
      <c r="B15" s="5">
        <v>35.6</v>
      </c>
    </row>
    <row r="16" spans="1:7" x14ac:dyDescent="0.25">
      <c r="A16" s="5" t="s">
        <v>241</v>
      </c>
      <c r="B16" s="5">
        <v>36.700000000000003</v>
      </c>
    </row>
    <row r="17" spans="1:2" x14ac:dyDescent="0.25">
      <c r="A17" s="5" t="s">
        <v>200</v>
      </c>
      <c r="B17" s="5">
        <v>37.1</v>
      </c>
    </row>
    <row r="18" spans="1:2" x14ac:dyDescent="0.25">
      <c r="A18" s="5" t="s">
        <v>102</v>
      </c>
      <c r="B18" s="5">
        <v>37.799999999999997</v>
      </c>
    </row>
    <row r="19" spans="1:2" x14ac:dyDescent="0.25">
      <c r="A19" s="5" t="s">
        <v>38</v>
      </c>
      <c r="B19" s="5">
        <v>37.9</v>
      </c>
    </row>
    <row r="20" spans="1:2" x14ac:dyDescent="0.25">
      <c r="A20" s="5" t="s">
        <v>218</v>
      </c>
      <c r="B20" s="5">
        <v>43.1</v>
      </c>
    </row>
    <row r="21" spans="1:2" x14ac:dyDescent="0.25">
      <c r="A21" s="5" t="s">
        <v>84</v>
      </c>
      <c r="B21" s="5">
        <v>43.5</v>
      </c>
    </row>
    <row r="22" spans="1:2" x14ac:dyDescent="0.25">
      <c r="A22" s="5" t="s">
        <v>132</v>
      </c>
      <c r="B22" s="5">
        <v>44.7</v>
      </c>
    </row>
    <row r="23" spans="1:2" x14ac:dyDescent="0.25">
      <c r="A23" s="5" t="s">
        <v>204</v>
      </c>
      <c r="B23" s="5">
        <v>46</v>
      </c>
    </row>
    <row r="24" spans="1:2" x14ac:dyDescent="0.25">
      <c r="A24" s="5" t="s">
        <v>22</v>
      </c>
      <c r="B24" s="5">
        <v>47.8</v>
      </c>
    </row>
    <row r="25" spans="1:2" x14ac:dyDescent="0.25">
      <c r="A25" s="5" t="s">
        <v>97</v>
      </c>
      <c r="B25" s="5">
        <v>52.1</v>
      </c>
    </row>
    <row r="26" spans="1:2" x14ac:dyDescent="0.25">
      <c r="A26" s="5" t="s">
        <v>27</v>
      </c>
      <c r="B26" s="5">
        <v>53.3</v>
      </c>
    </row>
    <row r="27" spans="1:2" x14ac:dyDescent="0.25">
      <c r="A27" s="5" t="s">
        <v>29</v>
      </c>
      <c r="B27" s="5">
        <v>53.9</v>
      </c>
    </row>
    <row r="32" spans="1:2" x14ac:dyDescent="0.25">
      <c r="A32" s="5" t="s">
        <v>41</v>
      </c>
      <c r="B32" s="5" t="s">
        <v>258</v>
      </c>
    </row>
    <row r="33" spans="1:2" x14ac:dyDescent="0.25">
      <c r="A33" s="5" t="s">
        <v>126</v>
      </c>
      <c r="B33" s="5" t="s">
        <v>258</v>
      </c>
    </row>
    <row r="34" spans="1:2" x14ac:dyDescent="0.25">
      <c r="A34" s="5" t="s">
        <v>137</v>
      </c>
      <c r="B34" s="5" t="s">
        <v>258</v>
      </c>
    </row>
    <row r="35" spans="1:2" x14ac:dyDescent="0.25">
      <c r="A35" s="5" t="s">
        <v>57</v>
      </c>
      <c r="B35" s="5" t="s">
        <v>258</v>
      </c>
    </row>
    <row r="36" spans="1:2" x14ac:dyDescent="0.25">
      <c r="A36" s="5" t="s">
        <v>203</v>
      </c>
    </row>
    <row r="37" spans="1:2" x14ac:dyDescent="0.25">
      <c r="A37" s="5" t="s">
        <v>30</v>
      </c>
    </row>
    <row r="38" spans="1:2" x14ac:dyDescent="0.25">
      <c r="A38" s="5" t="s">
        <v>185</v>
      </c>
    </row>
    <row r="39" spans="1:2" x14ac:dyDescent="0.25">
      <c r="A39" s="5" t="s">
        <v>106</v>
      </c>
    </row>
    <row r="40" spans="1:2" x14ac:dyDescent="0.25">
      <c r="A40" s="5" t="s">
        <v>226</v>
      </c>
    </row>
    <row r="41" spans="1:2" x14ac:dyDescent="0.25">
      <c r="A41" s="5" t="s">
        <v>77</v>
      </c>
    </row>
    <row r="42" spans="1:2" x14ac:dyDescent="0.25">
      <c r="A42" s="5" t="s">
        <v>141</v>
      </c>
    </row>
  </sheetData>
  <sortState xmlns:xlrd2="http://schemas.microsoft.com/office/spreadsheetml/2017/richdata2" ref="F2:F5">
    <sortCondition ref="F2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2EE7-D882-C849-B9C9-BCA627A7CD56}">
  <dimension ref="A1:B10"/>
  <sheetViews>
    <sheetView workbookViewId="0">
      <selection sqref="A1:B10"/>
    </sheetView>
  </sheetViews>
  <sheetFormatPr baseColWidth="10" defaultRowHeight="19" x14ac:dyDescent="0.25"/>
  <cols>
    <col min="1" max="1" width="27.5" style="5" customWidth="1"/>
    <col min="2" max="2" width="16.5" style="5" customWidth="1"/>
  </cols>
  <sheetData>
    <row r="1" spans="1:2" x14ac:dyDescent="0.25">
      <c r="A1" s="7" t="s">
        <v>293</v>
      </c>
      <c r="B1" s="7" t="s">
        <v>308</v>
      </c>
    </row>
    <row r="2" spans="1:2" x14ac:dyDescent="0.25">
      <c r="A2" s="5" t="s">
        <v>252</v>
      </c>
      <c r="B2" s="5">
        <v>3</v>
      </c>
    </row>
    <row r="3" spans="1:2" x14ac:dyDescent="0.25">
      <c r="A3" s="5" t="s">
        <v>254</v>
      </c>
      <c r="B3" s="5">
        <v>5</v>
      </c>
    </row>
    <row r="4" spans="1:2" x14ac:dyDescent="0.25">
      <c r="A4" s="5" t="s">
        <v>256</v>
      </c>
      <c r="B4" s="5">
        <v>6</v>
      </c>
    </row>
    <row r="5" spans="1:2" x14ac:dyDescent="0.25">
      <c r="A5" s="5" t="s">
        <v>259</v>
      </c>
      <c r="B5" s="5">
        <v>5</v>
      </c>
    </row>
    <row r="6" spans="1:2" x14ac:dyDescent="0.25">
      <c r="A6" s="5" t="s">
        <v>294</v>
      </c>
      <c r="B6" s="5">
        <v>1</v>
      </c>
    </row>
    <row r="7" spans="1:2" x14ac:dyDescent="0.25">
      <c r="A7" s="5" t="s">
        <v>391</v>
      </c>
      <c r="B7" s="5">
        <v>7</v>
      </c>
    </row>
    <row r="8" spans="1:2" x14ac:dyDescent="0.25">
      <c r="A8" s="5" t="s">
        <v>276</v>
      </c>
      <c r="B8" s="5">
        <v>1</v>
      </c>
    </row>
    <row r="9" spans="1:2" x14ac:dyDescent="0.25">
      <c r="A9" s="5" t="s">
        <v>290</v>
      </c>
      <c r="B9" s="5">
        <v>1</v>
      </c>
    </row>
    <row r="10" spans="1:2" x14ac:dyDescent="0.25">
      <c r="A10" s="5" t="s">
        <v>295</v>
      </c>
      <c r="B10" s="5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5E91-DD5C-E84A-9EC5-3DBEC89B7A3F}">
  <dimension ref="A1:C45"/>
  <sheetViews>
    <sheetView workbookViewId="0">
      <selection sqref="A1:A1048576"/>
    </sheetView>
  </sheetViews>
  <sheetFormatPr baseColWidth="10" defaultRowHeight="19" x14ac:dyDescent="0.25"/>
  <cols>
    <col min="1" max="1" width="30" style="5" customWidth="1"/>
    <col min="2" max="2" width="22.6640625" style="5" customWidth="1"/>
    <col min="3" max="3" width="28.83203125" style="5" customWidth="1"/>
  </cols>
  <sheetData>
    <row r="1" spans="1:3" x14ac:dyDescent="0.25">
      <c r="A1" s="5" t="s">
        <v>0</v>
      </c>
      <c r="B1" s="5" t="s">
        <v>327</v>
      </c>
      <c r="C1" s="5" t="s">
        <v>249</v>
      </c>
    </row>
    <row r="2" spans="1:3" x14ac:dyDescent="0.25">
      <c r="A2" s="5" t="s">
        <v>17</v>
      </c>
      <c r="B2" s="9">
        <v>4754</v>
      </c>
      <c r="C2" s="11">
        <v>1.2999999999999999E-2</v>
      </c>
    </row>
    <row r="3" spans="1:3" x14ac:dyDescent="0.25">
      <c r="A3" s="5" t="s">
        <v>204</v>
      </c>
      <c r="B3" s="9">
        <v>1600</v>
      </c>
      <c r="C3" s="11">
        <v>1.4999999999999999E-2</v>
      </c>
    </row>
    <row r="4" spans="1:3" x14ac:dyDescent="0.25">
      <c r="A4" s="5" t="s">
        <v>38</v>
      </c>
      <c r="B4" s="9">
        <v>4389</v>
      </c>
      <c r="C4" s="11">
        <v>2.1999999999999999E-2</v>
      </c>
    </row>
    <row r="5" spans="1:3" x14ac:dyDescent="0.25">
      <c r="A5" s="5" t="s">
        <v>22</v>
      </c>
      <c r="B5" s="9">
        <v>3287</v>
      </c>
      <c r="C5" s="11">
        <v>2.9000000000000001E-2</v>
      </c>
    </row>
    <row r="6" spans="1:3" x14ac:dyDescent="0.25">
      <c r="A6" s="5" t="s">
        <v>105</v>
      </c>
      <c r="B6" s="9">
        <v>86781</v>
      </c>
      <c r="C6" s="11">
        <v>3.5000000000000003E-2</v>
      </c>
    </row>
    <row r="7" spans="1:3" x14ac:dyDescent="0.25">
      <c r="A7" s="5" t="s">
        <v>102</v>
      </c>
      <c r="B7" s="9">
        <v>11812</v>
      </c>
      <c r="C7" s="11">
        <v>3.5999999999999997E-2</v>
      </c>
    </row>
    <row r="8" spans="1:3" x14ac:dyDescent="0.25">
      <c r="A8" s="5" t="s">
        <v>198</v>
      </c>
      <c r="B8" s="9">
        <v>32730</v>
      </c>
      <c r="C8" s="11">
        <v>3.9E-2</v>
      </c>
    </row>
    <row r="9" spans="1:3" x14ac:dyDescent="0.25">
      <c r="A9" s="5" t="s">
        <v>84</v>
      </c>
      <c r="B9" s="9">
        <v>5413</v>
      </c>
      <c r="C9" s="12">
        <v>0.04</v>
      </c>
    </row>
    <row r="10" spans="1:3" x14ac:dyDescent="0.25">
      <c r="A10" s="5" t="s">
        <v>122</v>
      </c>
      <c r="B10" s="9">
        <v>30898</v>
      </c>
      <c r="C10" s="11">
        <v>4.3999999999999997E-2</v>
      </c>
    </row>
    <row r="11" spans="1:3" x14ac:dyDescent="0.25">
      <c r="A11" s="5" t="s">
        <v>132</v>
      </c>
      <c r="B11" s="9">
        <v>1060</v>
      </c>
      <c r="C11" s="11">
        <v>4.7E-2</v>
      </c>
    </row>
    <row r="12" spans="1:3" x14ac:dyDescent="0.25">
      <c r="A12" s="5" t="s">
        <v>57</v>
      </c>
      <c r="B12" s="9">
        <v>24497</v>
      </c>
      <c r="C12" s="11">
        <v>4.9000000000000002E-2</v>
      </c>
    </row>
    <row r="13" spans="1:3" x14ac:dyDescent="0.25">
      <c r="A13" s="5" t="s">
        <v>40</v>
      </c>
      <c r="B13" s="9">
        <v>49031</v>
      </c>
      <c r="C13" s="11">
        <v>5.2999999999999999E-2</v>
      </c>
    </row>
    <row r="14" spans="1:3" x14ac:dyDescent="0.25">
      <c r="A14" s="5" t="s">
        <v>239</v>
      </c>
      <c r="B14" s="9">
        <v>6220</v>
      </c>
      <c r="C14" s="11">
        <v>5.2999999999999999E-2</v>
      </c>
    </row>
    <row r="15" spans="1:3" x14ac:dyDescent="0.25">
      <c r="A15" s="5" t="s">
        <v>81</v>
      </c>
      <c r="B15" s="9">
        <v>6220</v>
      </c>
      <c r="C15" s="11">
        <v>5.2999999999999999E-2</v>
      </c>
    </row>
    <row r="16" spans="1:3" x14ac:dyDescent="0.25">
      <c r="A16" s="5" t="s">
        <v>218</v>
      </c>
      <c r="B16" s="9">
        <v>1597</v>
      </c>
      <c r="C16" s="11">
        <v>5.3999999999999999E-2</v>
      </c>
    </row>
    <row r="17" spans="1:3" x14ac:dyDescent="0.25">
      <c r="A17" s="5" t="s">
        <v>76</v>
      </c>
      <c r="B17" s="9">
        <v>46184</v>
      </c>
      <c r="C17" s="11">
        <v>5.5E-2</v>
      </c>
    </row>
    <row r="18" spans="1:3" x14ac:dyDescent="0.25">
      <c r="A18" s="5" t="s">
        <v>120</v>
      </c>
      <c r="B18" s="9">
        <v>5253</v>
      </c>
      <c r="C18" s="12">
        <v>0.06</v>
      </c>
    </row>
    <row r="19" spans="1:3" x14ac:dyDescent="0.25">
      <c r="A19" s="5" t="s">
        <v>97</v>
      </c>
      <c r="B19" s="9">
        <v>5728</v>
      </c>
      <c r="C19" s="11">
        <v>6.0999999999999999E-2</v>
      </c>
    </row>
    <row r="20" spans="1:3" x14ac:dyDescent="0.25">
      <c r="A20" s="5" t="s">
        <v>29</v>
      </c>
      <c r="B20" s="9">
        <v>14652</v>
      </c>
      <c r="C20" s="11">
        <v>6.3E-2</v>
      </c>
    </row>
    <row r="21" spans="1:3" x14ac:dyDescent="0.25">
      <c r="A21" s="5" t="s">
        <v>222</v>
      </c>
      <c r="B21" s="9">
        <v>10756</v>
      </c>
      <c r="C21" s="11">
        <v>6.6000000000000003E-2</v>
      </c>
    </row>
    <row r="22" spans="1:3" x14ac:dyDescent="0.25">
      <c r="A22" s="5" t="s">
        <v>200</v>
      </c>
      <c r="B22" s="9">
        <v>2663</v>
      </c>
      <c r="C22" s="11">
        <v>9.9000000000000005E-2</v>
      </c>
    </row>
    <row r="30" spans="1:3" x14ac:dyDescent="0.25">
      <c r="A30" s="5" t="s">
        <v>241</v>
      </c>
      <c r="B30" s="9">
        <v>2500</v>
      </c>
      <c r="C30" s="5" t="s">
        <v>258</v>
      </c>
    </row>
    <row r="31" spans="1:3" x14ac:dyDescent="0.25">
      <c r="A31" s="5" t="s">
        <v>41</v>
      </c>
      <c r="B31" s="9">
        <v>71549</v>
      </c>
      <c r="C31" s="5" t="s">
        <v>258</v>
      </c>
    </row>
    <row r="32" spans="1:3" x14ac:dyDescent="0.25">
      <c r="A32" s="5" t="s">
        <v>126</v>
      </c>
      <c r="B32" s="9">
        <v>15174</v>
      </c>
      <c r="C32" s="11" t="s">
        <v>258</v>
      </c>
    </row>
    <row r="33" spans="1:3" x14ac:dyDescent="0.25">
      <c r="A33" s="5" t="s">
        <v>3</v>
      </c>
      <c r="B33" s="9">
        <v>11511</v>
      </c>
      <c r="C33" s="5" t="s">
        <v>258</v>
      </c>
    </row>
    <row r="34" spans="1:3" x14ac:dyDescent="0.25">
      <c r="A34" s="5" t="s">
        <v>229</v>
      </c>
      <c r="B34" s="9">
        <v>67119</v>
      </c>
      <c r="C34" s="5" t="s">
        <v>258</v>
      </c>
    </row>
    <row r="35" spans="1:3" x14ac:dyDescent="0.25">
      <c r="A35" s="5" t="s">
        <v>111</v>
      </c>
      <c r="B35" s="9">
        <v>56600</v>
      </c>
      <c r="C35" s="5" t="s">
        <v>258</v>
      </c>
    </row>
    <row r="36" spans="1:3" x14ac:dyDescent="0.25">
      <c r="A36" s="5" t="s">
        <v>137</v>
      </c>
      <c r="B36" s="9">
        <v>3889</v>
      </c>
      <c r="C36" s="5" t="s">
        <v>258</v>
      </c>
    </row>
    <row r="37" spans="1:3" x14ac:dyDescent="0.25">
      <c r="A37" s="5" t="s">
        <v>207</v>
      </c>
      <c r="B37" s="9">
        <v>3958</v>
      </c>
      <c r="C37" s="5" t="s">
        <v>258</v>
      </c>
    </row>
    <row r="38" spans="1:3" x14ac:dyDescent="0.25">
      <c r="A38" s="5" t="s">
        <v>27</v>
      </c>
      <c r="B38" s="9">
        <v>17767</v>
      </c>
      <c r="C38" s="5" t="s">
        <v>258</v>
      </c>
    </row>
    <row r="39" spans="1:3" x14ac:dyDescent="0.25">
      <c r="A39" s="5" t="s">
        <v>203</v>
      </c>
    </row>
    <row r="40" spans="1:3" x14ac:dyDescent="0.25">
      <c r="A40" s="5" t="s">
        <v>30</v>
      </c>
    </row>
    <row r="41" spans="1:3" x14ac:dyDescent="0.25">
      <c r="A41" s="5" t="s">
        <v>185</v>
      </c>
      <c r="B41" s="9"/>
    </row>
    <row r="42" spans="1:3" x14ac:dyDescent="0.25">
      <c r="A42" s="5" t="s">
        <v>106</v>
      </c>
      <c r="B42" s="9"/>
    </row>
    <row r="43" spans="1:3" x14ac:dyDescent="0.25">
      <c r="A43" s="5" t="s">
        <v>226</v>
      </c>
      <c r="B43" s="9"/>
    </row>
    <row r="44" spans="1:3" x14ac:dyDescent="0.25">
      <c r="A44" s="5" t="s">
        <v>77</v>
      </c>
    </row>
    <row r="45" spans="1:3" x14ac:dyDescent="0.25">
      <c r="A45" s="5" t="s">
        <v>141</v>
      </c>
    </row>
  </sheetData>
  <sortState xmlns:xlrd2="http://schemas.microsoft.com/office/spreadsheetml/2017/richdata2" ref="A2:C22">
    <sortCondition ref="C2:C22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E8ED-6C45-6441-B68F-18006993211E}">
  <dimension ref="A1:C44"/>
  <sheetViews>
    <sheetView workbookViewId="0">
      <selection activeCell="C2" sqref="C2"/>
    </sheetView>
  </sheetViews>
  <sheetFormatPr baseColWidth="10" defaultRowHeight="19" x14ac:dyDescent="0.25"/>
  <cols>
    <col min="1" max="1" width="31.83203125" style="5" customWidth="1"/>
    <col min="2" max="2" width="26.1640625" style="5" customWidth="1"/>
    <col min="3" max="3" width="54.5" style="5" customWidth="1"/>
  </cols>
  <sheetData>
    <row r="1" spans="1:3" x14ac:dyDescent="0.25">
      <c r="A1" s="5" t="s">
        <v>0</v>
      </c>
      <c r="B1" s="5" t="s">
        <v>248</v>
      </c>
      <c r="C1" s="5" t="s">
        <v>388</v>
      </c>
    </row>
    <row r="2" spans="1:3" x14ac:dyDescent="0.25">
      <c r="A2" s="5" t="s">
        <v>122</v>
      </c>
      <c r="B2" s="11">
        <v>0.999</v>
      </c>
      <c r="C2" s="5">
        <v>4.9300000000000004E-3</v>
      </c>
    </row>
    <row r="3" spans="1:3" x14ac:dyDescent="0.25">
      <c r="A3" s="5" t="s">
        <v>120</v>
      </c>
      <c r="B3" s="11">
        <v>0.995</v>
      </c>
      <c r="C3" s="5">
        <v>2.6259999999999999E-2</v>
      </c>
    </row>
    <row r="4" spans="1:3" x14ac:dyDescent="0.25">
      <c r="A4" s="5" t="s">
        <v>41</v>
      </c>
      <c r="B4" s="12">
        <v>0.99</v>
      </c>
      <c r="C4" s="5">
        <v>7.8399999999999997E-3</v>
      </c>
    </row>
    <row r="5" spans="1:3" x14ac:dyDescent="0.25">
      <c r="A5" s="5" t="s">
        <v>40</v>
      </c>
      <c r="B5" s="12">
        <v>0.99</v>
      </c>
      <c r="C5" s="5">
        <v>4.4400000000000004E-3</v>
      </c>
    </row>
    <row r="6" spans="1:3" x14ac:dyDescent="0.25">
      <c r="A6" s="5" t="s">
        <v>200</v>
      </c>
      <c r="B6" s="12">
        <v>0.99</v>
      </c>
      <c r="C6" s="5">
        <v>2.052E-2</v>
      </c>
    </row>
    <row r="7" spans="1:3" x14ac:dyDescent="0.25">
      <c r="A7" s="5" t="s">
        <v>198</v>
      </c>
      <c r="B7" s="12">
        <v>0.99</v>
      </c>
      <c r="C7" s="5">
        <v>4.8999999999999998E-3</v>
      </c>
    </row>
    <row r="8" spans="1:3" x14ac:dyDescent="0.25">
      <c r="A8" s="5" t="s">
        <v>105</v>
      </c>
      <c r="B8" s="12">
        <v>0.99</v>
      </c>
      <c r="C8" s="5">
        <v>3.5200000000000001E-3</v>
      </c>
    </row>
    <row r="9" spans="1:3" x14ac:dyDescent="0.25">
      <c r="A9" s="5" t="s">
        <v>111</v>
      </c>
      <c r="B9" s="12">
        <v>0.99</v>
      </c>
      <c r="C9" s="5">
        <v>3.9399999999999999E-3</v>
      </c>
    </row>
    <row r="10" spans="1:3" x14ac:dyDescent="0.25">
      <c r="A10" s="5" t="s">
        <v>57</v>
      </c>
      <c r="B10" s="12">
        <v>0.99</v>
      </c>
      <c r="C10" s="5">
        <v>8.0499999999999999E-3</v>
      </c>
    </row>
    <row r="11" spans="1:3" x14ac:dyDescent="0.25">
      <c r="A11" s="5" t="s">
        <v>76</v>
      </c>
      <c r="B11" s="12">
        <v>0.99</v>
      </c>
      <c r="C11" s="5">
        <v>3.1900000000000001E-3</v>
      </c>
    </row>
    <row r="12" spans="1:3" x14ac:dyDescent="0.25">
      <c r="A12" s="5" t="s">
        <v>137</v>
      </c>
      <c r="B12" s="11">
        <v>0.98199999999999998</v>
      </c>
      <c r="C12" s="5">
        <v>2.2200000000000001E-2</v>
      </c>
    </row>
    <row r="13" spans="1:3" x14ac:dyDescent="0.25">
      <c r="A13" s="5" t="s">
        <v>229</v>
      </c>
      <c r="B13" s="11">
        <v>0.95799999999999996</v>
      </c>
      <c r="C13" s="5">
        <v>5.2500000000000003E-3</v>
      </c>
    </row>
    <row r="14" spans="1:3" x14ac:dyDescent="0.25">
      <c r="A14" s="5" t="s">
        <v>239</v>
      </c>
      <c r="B14" s="11">
        <v>0.95699999999999996</v>
      </c>
      <c r="C14" s="5">
        <v>1.5679999999999999E-2</v>
      </c>
    </row>
    <row r="15" spans="1:3" x14ac:dyDescent="0.25">
      <c r="A15" s="5" t="s">
        <v>81</v>
      </c>
      <c r="B15" s="11">
        <v>0.95699999999999996</v>
      </c>
      <c r="C15" s="5">
        <v>1.5599999999999999E-2</v>
      </c>
    </row>
    <row r="16" spans="1:3" x14ac:dyDescent="0.25">
      <c r="A16" s="5" t="s">
        <v>102</v>
      </c>
      <c r="B16" s="12">
        <v>0.94</v>
      </c>
      <c r="C16" s="5">
        <v>2.0160000000000001E-2</v>
      </c>
    </row>
    <row r="17" spans="1:3" x14ac:dyDescent="0.25">
      <c r="A17" s="5" t="s">
        <v>29</v>
      </c>
      <c r="B17" s="11">
        <v>0.93400000000000005</v>
      </c>
      <c r="C17" s="5">
        <v>1.8370000000000001E-2</v>
      </c>
    </row>
    <row r="18" spans="1:3" x14ac:dyDescent="0.25">
      <c r="A18" s="5" t="s">
        <v>27</v>
      </c>
      <c r="B18" s="11">
        <v>0.88900000000000001</v>
      </c>
      <c r="C18" s="5">
        <v>2.597E-2</v>
      </c>
    </row>
    <row r="19" spans="1:3" x14ac:dyDescent="0.25">
      <c r="A19" s="5" t="s">
        <v>97</v>
      </c>
      <c r="B19" s="11">
        <v>0.873</v>
      </c>
      <c r="C19" s="5">
        <v>1.5389999999999999E-2</v>
      </c>
    </row>
    <row r="20" spans="1:3" x14ac:dyDescent="0.25">
      <c r="A20" s="5" t="s">
        <v>126</v>
      </c>
      <c r="B20" s="11">
        <v>0.85599999999999998</v>
      </c>
      <c r="C20" s="5">
        <v>1.1480000000000001E-2</v>
      </c>
    </row>
    <row r="21" spans="1:3" x14ac:dyDescent="0.25">
      <c r="A21" s="5" t="s">
        <v>3</v>
      </c>
      <c r="B21" s="11">
        <v>0.753</v>
      </c>
      <c r="C21" s="5">
        <v>2.0230000000000001E-2</v>
      </c>
    </row>
    <row r="22" spans="1:3" x14ac:dyDescent="0.25">
      <c r="A22" s="5" t="s">
        <v>38</v>
      </c>
      <c r="B22" s="12">
        <v>0.75</v>
      </c>
      <c r="C22" s="5">
        <v>4.5620000000000001E-2</v>
      </c>
    </row>
    <row r="23" spans="1:3" x14ac:dyDescent="0.25">
      <c r="A23" s="5" t="s">
        <v>222</v>
      </c>
      <c r="B23" s="11">
        <v>0.74199999999999999</v>
      </c>
      <c r="C23" s="5">
        <v>1.2160000000000001E-2</v>
      </c>
    </row>
    <row r="24" spans="1:3" x14ac:dyDescent="0.25">
      <c r="A24" s="5" t="s">
        <v>84</v>
      </c>
      <c r="B24" s="11">
        <v>0.71399999999999997</v>
      </c>
      <c r="C24" s="5">
        <v>3.3329999999999999E-2</v>
      </c>
    </row>
    <row r="25" spans="1:3" x14ac:dyDescent="0.25">
      <c r="A25" s="5" t="s">
        <v>17</v>
      </c>
      <c r="B25" s="11">
        <v>0.71199999999999997</v>
      </c>
      <c r="C25" s="5">
        <v>3.1130000000000001E-2</v>
      </c>
    </row>
    <row r="26" spans="1:3" x14ac:dyDescent="0.25">
      <c r="A26" s="5" t="s">
        <v>207</v>
      </c>
      <c r="B26" s="11">
        <v>0.56100000000000005</v>
      </c>
      <c r="C26" s="5">
        <v>4.3150000000000001E-2</v>
      </c>
    </row>
    <row r="27" spans="1:3" x14ac:dyDescent="0.25">
      <c r="A27" s="5" t="s">
        <v>132</v>
      </c>
      <c r="B27" s="11">
        <v>0.55200000000000005</v>
      </c>
      <c r="C27" s="5">
        <v>3.4189999999999998E-2</v>
      </c>
    </row>
    <row r="28" spans="1:3" x14ac:dyDescent="0.25">
      <c r="A28" s="5" t="s">
        <v>241</v>
      </c>
      <c r="B28" s="12">
        <v>0.55000000000000004</v>
      </c>
      <c r="C28" s="5">
        <v>4.7559999999999998E-2</v>
      </c>
    </row>
    <row r="29" spans="1:3" x14ac:dyDescent="0.25">
      <c r="A29" s="5" t="s">
        <v>218</v>
      </c>
      <c r="B29" s="11">
        <v>0.51200000000000001</v>
      </c>
      <c r="C29" s="5">
        <v>4.2639999999999997E-2</v>
      </c>
    </row>
    <row r="30" spans="1:3" x14ac:dyDescent="0.25">
      <c r="A30" s="5" t="s">
        <v>22</v>
      </c>
      <c r="B30" s="11">
        <v>0.311</v>
      </c>
      <c r="C30" s="5">
        <v>5.7230000000000003E-2</v>
      </c>
    </row>
    <row r="31" spans="1:3" x14ac:dyDescent="0.25">
      <c r="A31" s="5" t="s">
        <v>204</v>
      </c>
      <c r="B31" s="11">
        <v>0.28899999999999998</v>
      </c>
      <c r="C31" s="5">
        <v>6.4769999999999994E-2</v>
      </c>
    </row>
    <row r="38" spans="1:1" x14ac:dyDescent="0.25">
      <c r="A38" s="5" t="s">
        <v>203</v>
      </c>
    </row>
    <row r="39" spans="1:1" x14ac:dyDescent="0.25">
      <c r="A39" s="5" t="s">
        <v>30</v>
      </c>
    </row>
    <row r="40" spans="1:1" x14ac:dyDescent="0.25">
      <c r="A40" s="5" t="s">
        <v>185</v>
      </c>
    </row>
    <row r="41" spans="1:1" x14ac:dyDescent="0.25">
      <c r="A41" s="5" t="s">
        <v>106</v>
      </c>
    </row>
    <row r="42" spans="1:1" x14ac:dyDescent="0.25">
      <c r="A42" s="5" t="s">
        <v>226</v>
      </c>
    </row>
    <row r="43" spans="1:1" x14ac:dyDescent="0.25">
      <c r="A43" s="5" t="s">
        <v>77</v>
      </c>
    </row>
    <row r="44" spans="1:1" x14ac:dyDescent="0.25">
      <c r="A44" s="5" t="s">
        <v>141</v>
      </c>
    </row>
  </sheetData>
  <sortState xmlns:xlrd2="http://schemas.microsoft.com/office/spreadsheetml/2017/richdata2" ref="A2:C38">
    <sortCondition descending="1" ref="B2:B38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456D-D155-E44E-B22F-BE3A7FF34FD8}">
  <dimension ref="A1:I43"/>
  <sheetViews>
    <sheetView workbookViewId="0">
      <selection activeCell="D35" sqref="D35"/>
    </sheetView>
  </sheetViews>
  <sheetFormatPr baseColWidth="10" defaultRowHeight="16" x14ac:dyDescent="0.2"/>
  <cols>
    <col min="1" max="1" width="26.6640625" style="14" customWidth="1"/>
    <col min="2" max="2" width="14.6640625" style="14" customWidth="1"/>
    <col min="3" max="3" width="21.6640625" style="14" customWidth="1"/>
    <col min="4" max="4" width="24.33203125" style="14" customWidth="1"/>
    <col min="5" max="5" width="10.83203125" customWidth="1"/>
    <col min="6" max="6" width="26.83203125" style="14" customWidth="1"/>
    <col min="7" max="7" width="25.5" style="14" customWidth="1"/>
    <col min="8" max="8" width="22.1640625" style="14" customWidth="1"/>
    <col min="9" max="9" width="26.83203125" style="14" customWidth="1"/>
    <col min="10" max="10" width="10.83203125" customWidth="1"/>
  </cols>
  <sheetData>
    <row r="1" spans="1:9" x14ac:dyDescent="0.2">
      <c r="A1" s="14" t="s">
        <v>0</v>
      </c>
      <c r="B1" s="15" t="s">
        <v>339</v>
      </c>
      <c r="C1" s="16" t="s">
        <v>312</v>
      </c>
      <c r="D1" s="17"/>
      <c r="F1" s="14" t="s">
        <v>0</v>
      </c>
      <c r="G1" s="15" t="s">
        <v>249</v>
      </c>
      <c r="H1" s="16" t="s">
        <v>313</v>
      </c>
      <c r="I1" s="17"/>
    </row>
    <row r="2" spans="1:9" x14ac:dyDescent="0.2">
      <c r="A2" s="14" t="s">
        <v>105</v>
      </c>
      <c r="B2" s="18">
        <v>86781</v>
      </c>
      <c r="F2" s="14" t="s">
        <v>17</v>
      </c>
      <c r="G2" s="22">
        <v>1.2999999999999999E-2</v>
      </c>
    </row>
    <row r="3" spans="1:9" x14ac:dyDescent="0.2">
      <c r="A3" s="14" t="s">
        <v>41</v>
      </c>
      <c r="B3" s="18">
        <v>71549</v>
      </c>
      <c r="C3" s="14" t="s">
        <v>296</v>
      </c>
      <c r="D3" s="19">
        <v>20186.400000000001</v>
      </c>
      <c r="F3" s="14" t="s">
        <v>204</v>
      </c>
      <c r="G3" s="22">
        <v>1.4999999999999999E-2</v>
      </c>
      <c r="H3" s="14" t="s">
        <v>296</v>
      </c>
      <c r="I3" s="14">
        <v>4.6952380952380954E-2</v>
      </c>
    </row>
    <row r="4" spans="1:9" x14ac:dyDescent="0.2">
      <c r="A4" s="14" t="s">
        <v>229</v>
      </c>
      <c r="B4" s="18">
        <v>67119</v>
      </c>
      <c r="C4" s="14" t="s">
        <v>297</v>
      </c>
      <c r="D4" s="14">
        <v>4383.2850229233218</v>
      </c>
      <c r="F4" s="14" t="s">
        <v>38</v>
      </c>
      <c r="G4" s="22">
        <v>2.1999999999999999E-2</v>
      </c>
      <c r="H4" s="14" t="s">
        <v>297</v>
      </c>
      <c r="I4" s="14">
        <v>4.2051420849536711E-3</v>
      </c>
    </row>
    <row r="5" spans="1:9" x14ac:dyDescent="0.2">
      <c r="A5" s="14" t="s">
        <v>111</v>
      </c>
      <c r="B5" s="18">
        <v>56600</v>
      </c>
      <c r="C5" s="14" t="s">
        <v>298</v>
      </c>
      <c r="D5" s="14">
        <v>8488</v>
      </c>
      <c r="F5" s="14" t="s">
        <v>22</v>
      </c>
      <c r="G5" s="22">
        <v>2.9000000000000001E-2</v>
      </c>
      <c r="H5" s="14" t="s">
        <v>298</v>
      </c>
      <c r="I5" s="14">
        <v>4.9000000000000002E-2</v>
      </c>
    </row>
    <row r="6" spans="1:9" x14ac:dyDescent="0.2">
      <c r="A6" s="14" t="s">
        <v>40</v>
      </c>
      <c r="B6" s="18">
        <v>49031</v>
      </c>
      <c r="C6" s="14" t="s">
        <v>299</v>
      </c>
      <c r="D6" s="14">
        <v>6220</v>
      </c>
      <c r="F6" s="14" t="s">
        <v>105</v>
      </c>
      <c r="G6" s="22">
        <v>3.5000000000000003E-2</v>
      </c>
      <c r="H6" s="14" t="s">
        <v>299</v>
      </c>
      <c r="I6" s="14">
        <v>5.2999999999999999E-2</v>
      </c>
    </row>
    <row r="7" spans="1:9" x14ac:dyDescent="0.2">
      <c r="A7" s="14" t="s">
        <v>76</v>
      </c>
      <c r="B7" s="18">
        <v>46184</v>
      </c>
      <c r="C7" s="14" t="s">
        <v>300</v>
      </c>
      <c r="D7" s="14">
        <v>24008.240830296527</v>
      </c>
      <c r="F7" s="14" t="s">
        <v>102</v>
      </c>
      <c r="G7" s="22">
        <v>3.5999999999999997E-2</v>
      </c>
      <c r="H7" s="14" t="s">
        <v>300</v>
      </c>
      <c r="I7" s="14">
        <v>1.927038191234462E-2</v>
      </c>
    </row>
    <row r="8" spans="1:9" x14ac:dyDescent="0.2">
      <c r="A8" s="14" t="s">
        <v>198</v>
      </c>
      <c r="B8" s="18">
        <v>32730</v>
      </c>
      <c r="C8" s="14" t="s">
        <v>301</v>
      </c>
      <c r="D8" s="14">
        <v>576395627.76551723</v>
      </c>
      <c r="F8" s="14" t="s">
        <v>198</v>
      </c>
      <c r="G8" s="22">
        <v>3.9E-2</v>
      </c>
      <c r="H8" s="14" t="s">
        <v>301</v>
      </c>
      <c r="I8" s="14">
        <v>3.7134761904761873E-4</v>
      </c>
    </row>
    <row r="9" spans="1:9" x14ac:dyDescent="0.2">
      <c r="A9" s="14" t="s">
        <v>122</v>
      </c>
      <c r="B9" s="18">
        <v>30898</v>
      </c>
      <c r="C9" s="14" t="s">
        <v>302</v>
      </c>
      <c r="D9" s="14">
        <v>1.2038978378832694</v>
      </c>
      <c r="F9" s="14" t="s">
        <v>84</v>
      </c>
      <c r="G9" s="23">
        <v>0.04</v>
      </c>
      <c r="H9" s="14" t="s">
        <v>302</v>
      </c>
      <c r="I9" s="14">
        <v>1.6434798440087177</v>
      </c>
    </row>
    <row r="10" spans="1:9" x14ac:dyDescent="0.2">
      <c r="A10" s="14" t="s">
        <v>57</v>
      </c>
      <c r="B10" s="18">
        <v>24497</v>
      </c>
      <c r="C10" s="14" t="s">
        <v>303</v>
      </c>
      <c r="D10" s="14">
        <v>1.4901248200650496</v>
      </c>
      <c r="F10" s="14" t="s">
        <v>122</v>
      </c>
      <c r="G10" s="22">
        <v>4.3999999999999997E-2</v>
      </c>
      <c r="H10" s="14" t="s">
        <v>303</v>
      </c>
      <c r="I10" s="14">
        <v>0.47575976622304322</v>
      </c>
    </row>
    <row r="11" spans="1:9" x14ac:dyDescent="0.2">
      <c r="A11" s="14" t="s">
        <v>27</v>
      </c>
      <c r="B11" s="18">
        <v>17767</v>
      </c>
      <c r="C11" s="14" t="s">
        <v>304</v>
      </c>
      <c r="D11" s="14">
        <v>85721</v>
      </c>
      <c r="F11" s="14" t="s">
        <v>132</v>
      </c>
      <c r="G11" s="22">
        <v>4.7E-2</v>
      </c>
      <c r="H11" s="14" t="s">
        <v>304</v>
      </c>
      <c r="I11" s="14">
        <v>8.6000000000000007E-2</v>
      </c>
    </row>
    <row r="12" spans="1:9" x14ac:dyDescent="0.2">
      <c r="A12" s="14" t="s">
        <v>126</v>
      </c>
      <c r="B12" s="18">
        <v>15174</v>
      </c>
      <c r="C12" s="14" t="s">
        <v>305</v>
      </c>
      <c r="D12" s="14">
        <v>1060</v>
      </c>
      <c r="F12" s="14" t="s">
        <v>57</v>
      </c>
      <c r="G12" s="22">
        <v>4.9000000000000002E-2</v>
      </c>
      <c r="H12" s="14" t="s">
        <v>305</v>
      </c>
      <c r="I12" s="14">
        <v>1.2999999999999999E-2</v>
      </c>
    </row>
    <row r="13" spans="1:9" x14ac:dyDescent="0.2">
      <c r="A13" s="14" t="s">
        <v>29</v>
      </c>
      <c r="B13" s="18">
        <v>14652</v>
      </c>
      <c r="C13" s="14" t="s">
        <v>306</v>
      </c>
      <c r="D13" s="14">
        <v>86781</v>
      </c>
      <c r="F13" s="14" t="s">
        <v>40</v>
      </c>
      <c r="G13" s="22">
        <v>5.2999999999999999E-2</v>
      </c>
      <c r="H13" s="14" t="s">
        <v>306</v>
      </c>
      <c r="I13" s="14">
        <v>9.9000000000000005E-2</v>
      </c>
    </row>
    <row r="14" spans="1:9" x14ac:dyDescent="0.2">
      <c r="A14" s="14" t="s">
        <v>102</v>
      </c>
      <c r="B14" s="18">
        <v>11812</v>
      </c>
      <c r="C14" s="14" t="s">
        <v>307</v>
      </c>
      <c r="D14" s="14">
        <v>605592</v>
      </c>
      <c r="F14" s="14" t="s">
        <v>239</v>
      </c>
      <c r="G14" s="22">
        <v>5.2999999999999999E-2</v>
      </c>
      <c r="H14" s="14" t="s">
        <v>307</v>
      </c>
      <c r="I14" s="14">
        <v>0.98599999999999999</v>
      </c>
    </row>
    <row r="15" spans="1:9" x14ac:dyDescent="0.2">
      <c r="A15" s="14" t="s">
        <v>3</v>
      </c>
      <c r="B15" s="18">
        <v>11511</v>
      </c>
      <c r="C15" s="14" t="s">
        <v>308</v>
      </c>
      <c r="D15" s="14">
        <v>30</v>
      </c>
      <c r="F15" s="14" t="s">
        <v>81</v>
      </c>
      <c r="G15" s="22">
        <v>5.2999999999999999E-2</v>
      </c>
      <c r="H15" s="14" t="s">
        <v>308</v>
      </c>
      <c r="I15" s="14">
        <v>21</v>
      </c>
    </row>
    <row r="16" spans="1:9" ht="17" thickBot="1" x14ac:dyDescent="0.25">
      <c r="A16" s="14" t="s">
        <v>222</v>
      </c>
      <c r="B16" s="18">
        <v>10756</v>
      </c>
      <c r="C16" s="20" t="s">
        <v>309</v>
      </c>
      <c r="D16" s="20">
        <v>8964.8244587991048</v>
      </c>
      <c r="F16" s="14" t="s">
        <v>218</v>
      </c>
      <c r="G16" s="22">
        <v>5.3999999999999999E-2</v>
      </c>
      <c r="H16" s="20" t="s">
        <v>309</v>
      </c>
      <c r="I16" s="20">
        <v>8.7717726797727266E-3</v>
      </c>
    </row>
    <row r="17" spans="1:9" x14ac:dyDescent="0.2">
      <c r="A17" s="14" t="s">
        <v>239</v>
      </c>
      <c r="B17" s="18">
        <v>6220</v>
      </c>
      <c r="C17" s="25" t="s">
        <v>310</v>
      </c>
      <c r="D17" s="26">
        <f>D3-D16</f>
        <v>11221.575541200897</v>
      </c>
      <c r="F17" s="14" t="s">
        <v>76</v>
      </c>
      <c r="G17" s="22">
        <v>5.5E-2</v>
      </c>
      <c r="H17" s="25" t="s">
        <v>310</v>
      </c>
      <c r="I17" s="27">
        <v>3.8179999999999999E-2</v>
      </c>
    </row>
    <row r="18" spans="1:9" x14ac:dyDescent="0.2">
      <c r="A18" s="14" t="s">
        <v>81</v>
      </c>
      <c r="B18" s="18">
        <v>6220</v>
      </c>
      <c r="C18" s="25" t="s">
        <v>311</v>
      </c>
      <c r="D18" s="26">
        <f>D3+D16</f>
        <v>29151.224458799108</v>
      </c>
      <c r="F18" s="14" t="s">
        <v>120</v>
      </c>
      <c r="G18" s="23">
        <v>0.06</v>
      </c>
      <c r="H18" s="25" t="s">
        <v>311</v>
      </c>
      <c r="I18" s="27">
        <v>5.57E-2</v>
      </c>
    </row>
    <row r="19" spans="1:9" x14ac:dyDescent="0.2">
      <c r="A19" s="14" t="s">
        <v>97</v>
      </c>
      <c r="B19" s="18">
        <v>5728</v>
      </c>
      <c r="F19" s="14" t="s">
        <v>97</v>
      </c>
      <c r="G19" s="22">
        <v>6.0999999999999999E-2</v>
      </c>
    </row>
    <row r="20" spans="1:9" x14ac:dyDescent="0.2">
      <c r="A20" s="14" t="s">
        <v>84</v>
      </c>
      <c r="B20" s="18">
        <v>5413</v>
      </c>
      <c r="F20" s="14" t="s">
        <v>29</v>
      </c>
      <c r="G20" s="22">
        <v>6.3E-2</v>
      </c>
    </row>
    <row r="21" spans="1:9" x14ac:dyDescent="0.2">
      <c r="A21" s="14" t="s">
        <v>120</v>
      </c>
      <c r="B21" s="18">
        <v>5253</v>
      </c>
      <c r="F21" s="14" t="s">
        <v>222</v>
      </c>
      <c r="G21" s="22">
        <v>6.6000000000000003E-2</v>
      </c>
    </row>
    <row r="22" spans="1:9" x14ac:dyDescent="0.2">
      <c r="A22" s="14" t="s">
        <v>17</v>
      </c>
      <c r="B22" s="18">
        <v>4754</v>
      </c>
      <c r="F22" s="14" t="s">
        <v>200</v>
      </c>
      <c r="G22" s="22">
        <v>9.9000000000000005E-2</v>
      </c>
    </row>
    <row r="23" spans="1:9" x14ac:dyDescent="0.2">
      <c r="A23" s="14" t="s">
        <v>38</v>
      </c>
      <c r="B23" s="18">
        <v>4389</v>
      </c>
    </row>
    <row r="24" spans="1:9" x14ac:dyDescent="0.2">
      <c r="A24" s="14" t="s">
        <v>207</v>
      </c>
      <c r="B24" s="18">
        <v>3958</v>
      </c>
    </row>
    <row r="25" spans="1:9" x14ac:dyDescent="0.2">
      <c r="A25" s="14" t="s">
        <v>137</v>
      </c>
      <c r="B25" s="18">
        <v>3889</v>
      </c>
    </row>
    <row r="26" spans="1:9" x14ac:dyDescent="0.2">
      <c r="A26" s="14" t="s">
        <v>22</v>
      </c>
      <c r="B26" s="18">
        <v>3287</v>
      </c>
    </row>
    <row r="27" spans="1:9" x14ac:dyDescent="0.2">
      <c r="A27" s="14" t="s">
        <v>200</v>
      </c>
      <c r="B27" s="18">
        <v>2663</v>
      </c>
    </row>
    <row r="28" spans="1:9" x14ac:dyDescent="0.2">
      <c r="A28" s="14" t="s">
        <v>241</v>
      </c>
      <c r="B28" s="18">
        <v>2500</v>
      </c>
      <c r="F28" s="14" t="s">
        <v>241</v>
      </c>
      <c r="G28" s="14" t="s">
        <v>258</v>
      </c>
    </row>
    <row r="29" spans="1:9" x14ac:dyDescent="0.2">
      <c r="A29" s="14" t="s">
        <v>204</v>
      </c>
      <c r="B29" s="18">
        <v>1600</v>
      </c>
      <c r="F29" s="14" t="s">
        <v>41</v>
      </c>
      <c r="G29" s="14" t="s">
        <v>258</v>
      </c>
    </row>
    <row r="30" spans="1:9" x14ac:dyDescent="0.2">
      <c r="A30" s="14" t="s">
        <v>218</v>
      </c>
      <c r="B30" s="18">
        <v>1597</v>
      </c>
      <c r="F30" s="14" t="s">
        <v>126</v>
      </c>
      <c r="G30" s="24" t="s">
        <v>258</v>
      </c>
    </row>
    <row r="31" spans="1:9" x14ac:dyDescent="0.2">
      <c r="A31" s="14" t="s">
        <v>132</v>
      </c>
      <c r="B31" s="18">
        <v>1060</v>
      </c>
      <c r="F31" s="14" t="s">
        <v>3</v>
      </c>
      <c r="G31" s="14" t="s">
        <v>258</v>
      </c>
    </row>
    <row r="32" spans="1:9" x14ac:dyDescent="0.2">
      <c r="F32" s="14" t="s">
        <v>229</v>
      </c>
      <c r="G32" s="14" t="s">
        <v>258</v>
      </c>
    </row>
    <row r="33" spans="1:7" x14ac:dyDescent="0.2">
      <c r="F33" s="14" t="s">
        <v>111</v>
      </c>
      <c r="G33" s="14" t="s">
        <v>258</v>
      </c>
    </row>
    <row r="34" spans="1:7" x14ac:dyDescent="0.2">
      <c r="B34" s="21"/>
      <c r="F34" s="14" t="s">
        <v>137</v>
      </c>
      <c r="G34" s="14" t="s">
        <v>258</v>
      </c>
    </row>
    <row r="35" spans="1:7" x14ac:dyDescent="0.2">
      <c r="B35" s="21"/>
      <c r="F35" s="14" t="s">
        <v>207</v>
      </c>
      <c r="G35" s="14" t="s">
        <v>258</v>
      </c>
    </row>
    <row r="36" spans="1:7" x14ac:dyDescent="0.2">
      <c r="B36" s="21"/>
      <c r="F36" s="14" t="s">
        <v>27</v>
      </c>
      <c r="G36" s="14" t="s">
        <v>258</v>
      </c>
    </row>
    <row r="37" spans="1:7" x14ac:dyDescent="0.2">
      <c r="A37" s="14" t="s">
        <v>203</v>
      </c>
      <c r="F37" s="14" t="s">
        <v>203</v>
      </c>
    </row>
    <row r="38" spans="1:7" x14ac:dyDescent="0.2">
      <c r="A38" s="14" t="s">
        <v>30</v>
      </c>
      <c r="F38" s="14" t="s">
        <v>30</v>
      </c>
    </row>
    <row r="39" spans="1:7" x14ac:dyDescent="0.2">
      <c r="A39" s="14" t="s">
        <v>185</v>
      </c>
      <c r="F39" s="14" t="s">
        <v>185</v>
      </c>
    </row>
    <row r="40" spans="1:7" x14ac:dyDescent="0.2">
      <c r="A40" s="14" t="s">
        <v>106</v>
      </c>
      <c r="F40" s="14" t="s">
        <v>106</v>
      </c>
    </row>
    <row r="41" spans="1:7" x14ac:dyDescent="0.2">
      <c r="A41" s="14" t="s">
        <v>226</v>
      </c>
      <c r="F41" s="14" t="s">
        <v>226</v>
      </c>
    </row>
    <row r="42" spans="1:7" x14ac:dyDescent="0.2">
      <c r="A42" s="14" t="s">
        <v>77</v>
      </c>
      <c r="F42" s="14" t="s">
        <v>77</v>
      </c>
    </row>
    <row r="43" spans="1:7" x14ac:dyDescent="0.2">
      <c r="A43" s="14" t="s">
        <v>141</v>
      </c>
      <c r="F43" s="14" t="s">
        <v>141</v>
      </c>
    </row>
  </sheetData>
  <sortState xmlns:xlrd2="http://schemas.microsoft.com/office/spreadsheetml/2017/richdata2" ref="F2:G22">
    <sortCondition ref="G2:G2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DB51-23F8-BF47-BEC4-AAE0A75B356D}">
  <dimension ref="A1:K14"/>
  <sheetViews>
    <sheetView workbookViewId="0">
      <selection activeCell="H9" sqref="H9"/>
    </sheetView>
  </sheetViews>
  <sheetFormatPr baseColWidth="10" defaultRowHeight="15" x14ac:dyDescent="0.2"/>
  <cols>
    <col min="1" max="1" width="16.1640625" customWidth="1"/>
    <col min="4" max="4" width="15.33203125" customWidth="1"/>
    <col min="5" max="5" width="13" customWidth="1"/>
    <col min="6" max="6" width="31.5" customWidth="1"/>
    <col min="7" max="7" width="21" customWidth="1"/>
    <col min="8" max="8" width="19.33203125" customWidth="1"/>
    <col min="9" max="9" width="15" customWidth="1"/>
    <col min="10" max="10" width="16.5" customWidth="1"/>
    <col min="11" max="11" width="15.6640625" customWidth="1"/>
  </cols>
  <sheetData>
    <row r="1" spans="1:11" ht="19" x14ac:dyDescent="0.25">
      <c r="A1" s="7" t="s">
        <v>293</v>
      </c>
      <c r="B1" s="7" t="s">
        <v>308</v>
      </c>
      <c r="D1" s="6" t="s">
        <v>314</v>
      </c>
      <c r="E1" s="5" t="s">
        <v>315</v>
      </c>
      <c r="F1" s="5" t="s">
        <v>317</v>
      </c>
      <c r="G1" s="5" t="s">
        <v>318</v>
      </c>
      <c r="H1" s="5" t="s">
        <v>320</v>
      </c>
      <c r="I1" s="5" t="s">
        <v>323</v>
      </c>
      <c r="J1" s="5"/>
      <c r="K1" s="5"/>
    </row>
    <row r="2" spans="1:11" ht="19" x14ac:dyDescent="0.25">
      <c r="A2" s="34" t="s">
        <v>252</v>
      </c>
      <c r="B2" s="34">
        <v>3</v>
      </c>
      <c r="D2" s="5" t="s">
        <v>321</v>
      </c>
      <c r="E2" s="5" t="s">
        <v>316</v>
      </c>
      <c r="F2" s="5">
        <v>0.5</v>
      </c>
      <c r="G2" s="5">
        <v>9.1286999999999993E-2</v>
      </c>
      <c r="H2" s="5">
        <v>0</v>
      </c>
      <c r="I2" s="6">
        <v>0.5</v>
      </c>
      <c r="J2" s="5"/>
      <c r="K2" s="5"/>
    </row>
    <row r="3" spans="1:11" ht="19" x14ac:dyDescent="0.25">
      <c r="A3" s="5" t="s">
        <v>254</v>
      </c>
      <c r="B3" s="5">
        <v>5</v>
      </c>
      <c r="D3" s="5" t="s">
        <v>322</v>
      </c>
      <c r="F3" s="5"/>
    </row>
    <row r="4" spans="1:11" ht="21" x14ac:dyDescent="0.25">
      <c r="A4" s="5" t="s">
        <v>256</v>
      </c>
      <c r="B4" s="5">
        <v>6</v>
      </c>
      <c r="F4" s="5"/>
      <c r="H4" s="36"/>
    </row>
    <row r="5" spans="1:11" ht="21" x14ac:dyDescent="0.25">
      <c r="A5" s="34" t="s">
        <v>259</v>
      </c>
      <c r="B5" s="34">
        <v>5</v>
      </c>
      <c r="F5" s="36"/>
    </row>
    <row r="6" spans="1:11" ht="21" x14ac:dyDescent="0.25">
      <c r="A6" s="5" t="s">
        <v>294</v>
      </c>
      <c r="B6" s="5">
        <v>1</v>
      </c>
      <c r="G6" s="36"/>
    </row>
    <row r="7" spans="1:11" ht="19" x14ac:dyDescent="0.25">
      <c r="A7" s="34" t="s">
        <v>267</v>
      </c>
      <c r="B7" s="34">
        <v>1</v>
      </c>
    </row>
    <row r="8" spans="1:11" ht="19" x14ac:dyDescent="0.25">
      <c r="A8" s="34" t="s">
        <v>270</v>
      </c>
      <c r="B8" s="34">
        <v>6</v>
      </c>
    </row>
    <row r="9" spans="1:11" ht="19" x14ac:dyDescent="0.25">
      <c r="A9" s="5" t="s">
        <v>276</v>
      </c>
      <c r="B9" s="5">
        <v>1</v>
      </c>
    </row>
    <row r="10" spans="1:11" ht="19" x14ac:dyDescent="0.25">
      <c r="A10" s="5" t="s">
        <v>290</v>
      </c>
      <c r="B10" s="5">
        <v>1</v>
      </c>
    </row>
    <row r="11" spans="1:11" ht="19" x14ac:dyDescent="0.25">
      <c r="A11" s="5" t="s">
        <v>295</v>
      </c>
      <c r="B11" s="5">
        <v>1</v>
      </c>
    </row>
    <row r="13" spans="1:11" ht="19" x14ac:dyDescent="0.25">
      <c r="A13" s="5"/>
    </row>
    <row r="14" spans="1:11" ht="19" x14ac:dyDescent="0.25">
      <c r="A14" s="5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F382-345A-D840-A170-4A08E2C3A96E}">
  <dimension ref="A1:D64"/>
  <sheetViews>
    <sheetView workbookViewId="0">
      <selection sqref="A1:C43"/>
    </sheetView>
  </sheetViews>
  <sheetFormatPr baseColWidth="10" defaultRowHeight="19" x14ac:dyDescent="0.25"/>
  <cols>
    <col min="1" max="1" width="31.33203125" style="5" customWidth="1"/>
    <col min="2" max="2" width="23.33203125" style="5" customWidth="1"/>
    <col min="3" max="3" width="54.6640625" style="5" customWidth="1"/>
  </cols>
  <sheetData>
    <row r="1" spans="1:3" x14ac:dyDescent="0.25">
      <c r="A1" s="5" t="s">
        <v>0</v>
      </c>
      <c r="B1" s="5" t="s">
        <v>319</v>
      </c>
      <c r="C1" s="5" t="s">
        <v>250</v>
      </c>
    </row>
    <row r="2" spans="1:3" x14ac:dyDescent="0.25">
      <c r="A2" s="5" t="s">
        <v>122</v>
      </c>
      <c r="B2" s="5">
        <v>99.9</v>
      </c>
      <c r="C2" s="5">
        <v>4.93</v>
      </c>
    </row>
    <row r="3" spans="1:3" x14ac:dyDescent="0.25">
      <c r="A3" s="5" t="s">
        <v>120</v>
      </c>
      <c r="B3" s="5">
        <v>99.5</v>
      </c>
      <c r="C3" s="5">
        <v>26.26</v>
      </c>
    </row>
    <row r="4" spans="1:3" x14ac:dyDescent="0.25">
      <c r="A4" s="5" t="s">
        <v>41</v>
      </c>
      <c r="B4" s="5">
        <v>99</v>
      </c>
      <c r="C4" s="5">
        <v>7.84</v>
      </c>
    </row>
    <row r="5" spans="1:3" x14ac:dyDescent="0.25">
      <c r="A5" s="5" t="s">
        <v>40</v>
      </c>
      <c r="B5" s="5">
        <v>99</v>
      </c>
      <c r="C5" s="5">
        <v>4.4400000000000004</v>
      </c>
    </row>
    <row r="6" spans="1:3" x14ac:dyDescent="0.25">
      <c r="A6" s="5" t="s">
        <v>200</v>
      </c>
      <c r="B6" s="5">
        <v>99</v>
      </c>
      <c r="C6" s="5">
        <v>20.52</v>
      </c>
    </row>
    <row r="7" spans="1:3" x14ac:dyDescent="0.25">
      <c r="A7" s="5" t="s">
        <v>198</v>
      </c>
      <c r="B7" s="5">
        <v>99</v>
      </c>
      <c r="C7" s="5">
        <v>4.9000000000000004</v>
      </c>
    </row>
    <row r="8" spans="1:3" x14ac:dyDescent="0.25">
      <c r="A8" s="5" t="s">
        <v>105</v>
      </c>
      <c r="B8" s="5">
        <v>99</v>
      </c>
      <c r="C8" s="5">
        <v>3.52</v>
      </c>
    </row>
    <row r="9" spans="1:3" x14ac:dyDescent="0.25">
      <c r="A9" s="5" t="s">
        <v>111</v>
      </c>
      <c r="B9" s="5">
        <v>99</v>
      </c>
      <c r="C9" s="5">
        <v>3.94</v>
      </c>
    </row>
    <row r="10" spans="1:3" x14ac:dyDescent="0.25">
      <c r="A10" s="5" t="s">
        <v>57</v>
      </c>
      <c r="B10" s="5">
        <v>99</v>
      </c>
      <c r="C10" s="5">
        <v>8.0500000000000007</v>
      </c>
    </row>
    <row r="11" spans="1:3" x14ac:dyDescent="0.25">
      <c r="A11" s="5" t="s">
        <v>76</v>
      </c>
      <c r="B11" s="5">
        <v>99</v>
      </c>
      <c r="C11" s="5">
        <v>3.19</v>
      </c>
    </row>
    <row r="12" spans="1:3" x14ac:dyDescent="0.25">
      <c r="A12" s="5" t="s">
        <v>137</v>
      </c>
      <c r="B12" s="5">
        <v>98.2</v>
      </c>
      <c r="C12" s="5">
        <v>22.2</v>
      </c>
    </row>
    <row r="13" spans="1:3" x14ac:dyDescent="0.25">
      <c r="A13" s="5" t="s">
        <v>229</v>
      </c>
      <c r="B13" s="5">
        <v>95.8</v>
      </c>
      <c r="C13" s="5">
        <v>5.25</v>
      </c>
    </row>
    <row r="14" spans="1:3" x14ac:dyDescent="0.25">
      <c r="A14" s="5" t="s">
        <v>239</v>
      </c>
      <c r="B14" s="5">
        <v>95.7</v>
      </c>
      <c r="C14" s="5">
        <v>15.68</v>
      </c>
    </row>
    <row r="15" spans="1:3" x14ac:dyDescent="0.25">
      <c r="A15" s="5" t="s">
        <v>81</v>
      </c>
      <c r="B15" s="5">
        <v>95.7</v>
      </c>
      <c r="C15" s="5">
        <v>15.6</v>
      </c>
    </row>
    <row r="16" spans="1:3" x14ac:dyDescent="0.25">
      <c r="A16" s="5" t="s">
        <v>102</v>
      </c>
      <c r="B16" s="5">
        <v>94</v>
      </c>
      <c r="C16" s="5">
        <v>20.16</v>
      </c>
    </row>
    <row r="17" spans="1:3" x14ac:dyDescent="0.25">
      <c r="A17" s="5" t="s">
        <v>29</v>
      </c>
      <c r="B17" s="5">
        <v>93.4</v>
      </c>
      <c r="C17" s="5">
        <v>18.37</v>
      </c>
    </row>
    <row r="18" spans="1:3" x14ac:dyDescent="0.25">
      <c r="A18" s="5" t="s">
        <v>27</v>
      </c>
      <c r="B18" s="5">
        <v>88.9</v>
      </c>
      <c r="C18" s="5">
        <v>25.97</v>
      </c>
    </row>
    <row r="19" spans="1:3" x14ac:dyDescent="0.25">
      <c r="A19" s="5" t="s">
        <v>97</v>
      </c>
      <c r="B19" s="5">
        <v>87.3</v>
      </c>
      <c r="C19" s="5">
        <v>15.39</v>
      </c>
    </row>
    <row r="20" spans="1:3" x14ac:dyDescent="0.25">
      <c r="A20" s="5" t="s">
        <v>126</v>
      </c>
      <c r="B20" s="5">
        <v>85.6</v>
      </c>
      <c r="C20" s="5">
        <v>11.48</v>
      </c>
    </row>
    <row r="21" spans="1:3" x14ac:dyDescent="0.25">
      <c r="A21" s="5" t="s">
        <v>3</v>
      </c>
      <c r="B21" s="5">
        <v>75.3</v>
      </c>
      <c r="C21" s="5">
        <v>20.23</v>
      </c>
    </row>
    <row r="22" spans="1:3" x14ac:dyDescent="0.25">
      <c r="A22" s="5" t="s">
        <v>38</v>
      </c>
      <c r="B22" s="5">
        <v>75</v>
      </c>
      <c r="C22" s="5">
        <v>45.62</v>
      </c>
    </row>
    <row r="23" spans="1:3" x14ac:dyDescent="0.25">
      <c r="A23" s="5" t="s">
        <v>222</v>
      </c>
      <c r="B23" s="5">
        <v>74.2</v>
      </c>
      <c r="C23" s="5">
        <v>12.16</v>
      </c>
    </row>
    <row r="24" spans="1:3" x14ac:dyDescent="0.25">
      <c r="A24" s="5" t="s">
        <v>84</v>
      </c>
      <c r="B24" s="5">
        <v>71.400000000000006</v>
      </c>
      <c r="C24" s="5">
        <v>33.33</v>
      </c>
    </row>
    <row r="25" spans="1:3" x14ac:dyDescent="0.25">
      <c r="A25" s="5" t="s">
        <v>17</v>
      </c>
      <c r="B25" s="5">
        <v>71.2</v>
      </c>
      <c r="C25" s="5">
        <v>31.13</v>
      </c>
    </row>
    <row r="26" spans="1:3" x14ac:dyDescent="0.25">
      <c r="A26" s="5" t="s">
        <v>207</v>
      </c>
      <c r="B26" s="5">
        <v>56.1</v>
      </c>
      <c r="C26" s="5">
        <v>43.15</v>
      </c>
    </row>
    <row r="27" spans="1:3" x14ac:dyDescent="0.25">
      <c r="A27" s="5" t="s">
        <v>132</v>
      </c>
      <c r="B27" s="5">
        <v>55.2</v>
      </c>
      <c r="C27" s="5">
        <v>34.19</v>
      </c>
    </row>
    <row r="28" spans="1:3" x14ac:dyDescent="0.25">
      <c r="A28" s="5" t="s">
        <v>241</v>
      </c>
      <c r="B28" s="5">
        <v>55</v>
      </c>
      <c r="C28" s="5">
        <v>47.56</v>
      </c>
    </row>
    <row r="29" spans="1:3" x14ac:dyDescent="0.25">
      <c r="A29" s="5" t="s">
        <v>218</v>
      </c>
      <c r="B29" s="5">
        <v>51.2</v>
      </c>
      <c r="C29" s="5">
        <v>42.64</v>
      </c>
    </row>
    <row r="30" spans="1:3" x14ac:dyDescent="0.25">
      <c r="A30" s="5" t="s">
        <v>22</v>
      </c>
      <c r="B30" s="5">
        <v>31.1</v>
      </c>
      <c r="C30" s="5">
        <v>57.23</v>
      </c>
    </row>
    <row r="31" spans="1:3" x14ac:dyDescent="0.25">
      <c r="A31" s="5" t="s">
        <v>204</v>
      </c>
      <c r="B31" s="5">
        <v>28.9</v>
      </c>
      <c r="C31" s="5">
        <v>64.77</v>
      </c>
    </row>
    <row r="33" spans="1:4" x14ac:dyDescent="0.25">
      <c r="B33" s="11"/>
    </row>
    <row r="35" spans="1:4" x14ac:dyDescent="0.25">
      <c r="D35" s="3"/>
    </row>
    <row r="36" spans="1:4" x14ac:dyDescent="0.25">
      <c r="D36" s="3"/>
    </row>
    <row r="37" spans="1:4" x14ac:dyDescent="0.25">
      <c r="A37" s="5" t="s">
        <v>203</v>
      </c>
      <c r="D37" s="4"/>
    </row>
    <row r="38" spans="1:4" x14ac:dyDescent="0.25">
      <c r="A38" s="5" t="s">
        <v>30</v>
      </c>
      <c r="D38" s="4"/>
    </row>
    <row r="39" spans="1:4" x14ac:dyDescent="0.25">
      <c r="A39" s="5" t="s">
        <v>185</v>
      </c>
      <c r="D39" s="4"/>
    </row>
    <row r="40" spans="1:4" x14ac:dyDescent="0.25">
      <c r="A40" s="5" t="s">
        <v>106</v>
      </c>
      <c r="D40" s="4"/>
    </row>
    <row r="41" spans="1:4" x14ac:dyDescent="0.25">
      <c r="A41" s="5" t="s">
        <v>226</v>
      </c>
      <c r="D41" s="4"/>
    </row>
    <row r="42" spans="1:4" x14ac:dyDescent="0.25">
      <c r="A42" s="5" t="s">
        <v>77</v>
      </c>
      <c r="D42" s="4"/>
    </row>
    <row r="43" spans="1:4" x14ac:dyDescent="0.25">
      <c r="A43" s="5" t="s">
        <v>141</v>
      </c>
      <c r="D43" s="4"/>
    </row>
    <row r="44" spans="1:4" x14ac:dyDescent="0.25">
      <c r="D44" s="4"/>
    </row>
    <row r="45" spans="1:4" x14ac:dyDescent="0.25">
      <c r="D45" s="3"/>
    </row>
    <row r="46" spans="1:4" x14ac:dyDescent="0.25">
      <c r="D46" s="3"/>
    </row>
    <row r="47" spans="1:4" x14ac:dyDescent="0.25">
      <c r="D47" s="3"/>
    </row>
    <row r="48" spans="1:4" x14ac:dyDescent="0.25">
      <c r="D48" s="3"/>
    </row>
    <row r="49" spans="4:4" x14ac:dyDescent="0.25">
      <c r="D49" s="4"/>
    </row>
    <row r="50" spans="4:4" x14ac:dyDescent="0.25">
      <c r="D50" s="3"/>
    </row>
    <row r="51" spans="4:4" x14ac:dyDescent="0.25">
      <c r="D51" s="3"/>
    </row>
    <row r="52" spans="4:4" x14ac:dyDescent="0.25">
      <c r="D52" s="3"/>
    </row>
    <row r="53" spans="4:4" x14ac:dyDescent="0.25">
      <c r="D53" s="3"/>
    </row>
    <row r="54" spans="4:4" x14ac:dyDescent="0.25">
      <c r="D54" s="3"/>
    </row>
    <row r="55" spans="4:4" x14ac:dyDescent="0.25">
      <c r="D55" s="4"/>
    </row>
    <row r="56" spans="4:4" x14ac:dyDescent="0.25">
      <c r="D56" s="3"/>
    </row>
    <row r="57" spans="4:4" x14ac:dyDescent="0.25">
      <c r="D57" s="3"/>
    </row>
    <row r="58" spans="4:4" x14ac:dyDescent="0.25">
      <c r="D58" s="3"/>
    </row>
    <row r="59" spans="4:4" x14ac:dyDescent="0.25">
      <c r="D59" s="3"/>
    </row>
    <row r="60" spans="4:4" x14ac:dyDescent="0.25">
      <c r="D60" s="3"/>
    </row>
    <row r="61" spans="4:4" x14ac:dyDescent="0.25">
      <c r="D61" s="4"/>
    </row>
    <row r="62" spans="4:4" x14ac:dyDescent="0.25">
      <c r="D62" s="3"/>
    </row>
    <row r="63" spans="4:4" x14ac:dyDescent="0.25">
      <c r="D63" s="3"/>
    </row>
    <row r="64" spans="4:4" x14ac:dyDescent="0.25">
      <c r="D64" s="3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9CDD-731C-804E-9737-322065FF3D32}">
  <dimension ref="A1:M43"/>
  <sheetViews>
    <sheetView topLeftCell="A4" workbookViewId="0">
      <selection activeCell="F7" sqref="F7"/>
    </sheetView>
  </sheetViews>
  <sheetFormatPr baseColWidth="10" defaultRowHeight="15" x14ac:dyDescent="0.2"/>
  <cols>
    <col min="1" max="1" width="30.5" customWidth="1"/>
    <col min="2" max="2" width="24.33203125" customWidth="1"/>
    <col min="3" max="3" width="56.33203125" customWidth="1"/>
    <col min="4" max="4" width="26.5" customWidth="1"/>
    <col min="5" max="5" width="21.33203125" customWidth="1"/>
    <col min="6" max="6" width="17.5" customWidth="1"/>
    <col min="7" max="7" width="18.83203125" customWidth="1"/>
    <col min="8" max="8" width="17.83203125" customWidth="1"/>
    <col min="9" max="9" width="20.1640625" customWidth="1"/>
    <col min="10" max="10" width="17" customWidth="1"/>
    <col min="11" max="11" width="18.6640625" customWidth="1"/>
    <col min="12" max="12" width="20.5" customWidth="1"/>
    <col min="13" max="13" width="19.1640625" customWidth="1"/>
  </cols>
  <sheetData>
    <row r="1" spans="1:4" ht="19" x14ac:dyDescent="0.25">
      <c r="A1" s="5" t="s">
        <v>0</v>
      </c>
      <c r="B1" s="5" t="s">
        <v>319</v>
      </c>
      <c r="C1" s="5" t="s">
        <v>250</v>
      </c>
      <c r="D1" s="5"/>
    </row>
    <row r="2" spans="1:4" ht="19" x14ac:dyDescent="0.25">
      <c r="A2" s="5" t="s">
        <v>122</v>
      </c>
      <c r="B2" s="5">
        <v>99.9</v>
      </c>
      <c r="C2" s="5">
        <v>4.93</v>
      </c>
      <c r="D2" s="5"/>
    </row>
    <row r="3" spans="1:4" ht="19" x14ac:dyDescent="0.25">
      <c r="A3" s="5" t="s">
        <v>120</v>
      </c>
      <c r="B3" s="5">
        <v>99.5</v>
      </c>
      <c r="C3" s="5">
        <v>26.26</v>
      </c>
      <c r="D3" s="5"/>
    </row>
    <row r="4" spans="1:4" ht="19" x14ac:dyDescent="0.25">
      <c r="A4" s="5" t="s">
        <v>41</v>
      </c>
      <c r="B4" s="5">
        <v>99</v>
      </c>
      <c r="C4" s="5">
        <v>7.84</v>
      </c>
      <c r="D4" s="5"/>
    </row>
    <row r="5" spans="1:4" ht="19" x14ac:dyDescent="0.25">
      <c r="A5" s="5" t="s">
        <v>40</v>
      </c>
      <c r="B5" s="5">
        <v>99</v>
      </c>
      <c r="C5" s="5">
        <v>4.4400000000000004</v>
      </c>
      <c r="D5" s="5"/>
    </row>
    <row r="6" spans="1:4" ht="19" x14ac:dyDescent="0.25">
      <c r="A6" s="5" t="s">
        <v>200</v>
      </c>
      <c r="B6" s="5">
        <v>99</v>
      </c>
      <c r="C6" s="5">
        <v>20.52</v>
      </c>
      <c r="D6" s="5"/>
    </row>
    <row r="7" spans="1:4" ht="19" x14ac:dyDescent="0.25">
      <c r="A7" s="5" t="s">
        <v>198</v>
      </c>
      <c r="B7" s="5">
        <v>99</v>
      </c>
      <c r="C7" s="5">
        <v>4.9000000000000004</v>
      </c>
      <c r="D7" s="5"/>
    </row>
    <row r="8" spans="1:4" ht="19" x14ac:dyDescent="0.25">
      <c r="A8" s="5" t="s">
        <v>105</v>
      </c>
      <c r="B8" s="5">
        <v>99</v>
      </c>
      <c r="C8" s="5">
        <v>3.52</v>
      </c>
      <c r="D8" s="5"/>
    </row>
    <row r="9" spans="1:4" ht="19" x14ac:dyDescent="0.25">
      <c r="A9" s="5" t="s">
        <v>111</v>
      </c>
      <c r="B9" s="5">
        <v>99</v>
      </c>
      <c r="C9" s="5">
        <v>3.94</v>
      </c>
      <c r="D9" s="5"/>
    </row>
    <row r="10" spans="1:4" ht="19" x14ac:dyDescent="0.25">
      <c r="A10" s="5" t="s">
        <v>57</v>
      </c>
      <c r="B10" s="5">
        <v>99</v>
      </c>
      <c r="C10" s="5">
        <v>8.0500000000000007</v>
      </c>
      <c r="D10" s="5"/>
    </row>
    <row r="11" spans="1:4" ht="19" x14ac:dyDescent="0.25">
      <c r="A11" s="5" t="s">
        <v>76</v>
      </c>
      <c r="B11" s="5">
        <v>99</v>
      </c>
      <c r="C11" s="5">
        <v>3.19</v>
      </c>
      <c r="D11" s="5"/>
    </row>
    <row r="12" spans="1:4" ht="19" x14ac:dyDescent="0.25">
      <c r="A12" s="5" t="s">
        <v>137</v>
      </c>
      <c r="B12" s="5">
        <v>98.2</v>
      </c>
      <c r="C12" s="5">
        <v>22.2</v>
      </c>
      <c r="D12" s="5"/>
    </row>
    <row r="13" spans="1:4" ht="19" x14ac:dyDescent="0.25">
      <c r="A13" s="5" t="s">
        <v>229</v>
      </c>
      <c r="B13" s="5">
        <v>95.8</v>
      </c>
      <c r="C13" s="5">
        <v>5.25</v>
      </c>
      <c r="D13" s="5"/>
    </row>
    <row r="14" spans="1:4" ht="19" x14ac:dyDescent="0.25">
      <c r="A14" s="5" t="s">
        <v>239</v>
      </c>
      <c r="B14" s="5">
        <v>95.7</v>
      </c>
      <c r="C14" s="5">
        <v>15.68</v>
      </c>
      <c r="D14" s="5"/>
    </row>
    <row r="15" spans="1:4" ht="19" x14ac:dyDescent="0.25">
      <c r="A15" s="5" t="s">
        <v>81</v>
      </c>
      <c r="B15" s="5">
        <v>95.7</v>
      </c>
      <c r="C15" s="5">
        <v>15.6</v>
      </c>
      <c r="D15" s="5"/>
    </row>
    <row r="16" spans="1:4" ht="19" x14ac:dyDescent="0.25">
      <c r="A16" s="5" t="s">
        <v>102</v>
      </c>
      <c r="B16" s="5">
        <v>94</v>
      </c>
      <c r="C16" s="5">
        <v>20.16</v>
      </c>
      <c r="D16" s="5"/>
    </row>
    <row r="17" spans="1:13" ht="19" x14ac:dyDescent="0.25">
      <c r="A17" s="5" t="s">
        <v>29</v>
      </c>
      <c r="B17" s="5">
        <v>93.4</v>
      </c>
      <c r="C17" s="5">
        <v>18.37</v>
      </c>
      <c r="D17" s="5"/>
    </row>
    <row r="18" spans="1:13" ht="19" x14ac:dyDescent="0.25">
      <c r="A18" s="5" t="s">
        <v>27</v>
      </c>
      <c r="B18" s="5">
        <v>88.9</v>
      </c>
      <c r="C18" s="5">
        <v>25.97</v>
      </c>
      <c r="D18" s="5"/>
    </row>
    <row r="19" spans="1:13" ht="19" x14ac:dyDescent="0.25">
      <c r="A19" s="5" t="s">
        <v>97</v>
      </c>
      <c r="B19" s="5">
        <v>87.3</v>
      </c>
      <c r="C19" s="5">
        <v>15.39</v>
      </c>
      <c r="D19" s="5"/>
    </row>
    <row r="20" spans="1:13" ht="19" x14ac:dyDescent="0.25">
      <c r="A20" s="5" t="s">
        <v>126</v>
      </c>
      <c r="B20" s="5">
        <v>85.6</v>
      </c>
      <c r="C20" s="5">
        <v>11.48</v>
      </c>
      <c r="D20" s="5"/>
      <c r="E20" s="5" t="s">
        <v>340</v>
      </c>
      <c r="F20" s="5"/>
      <c r="G20" s="5"/>
      <c r="H20" s="5"/>
      <c r="I20" s="5"/>
      <c r="J20" s="5"/>
      <c r="K20" s="5"/>
      <c r="L20" s="5"/>
      <c r="M20" s="5"/>
    </row>
    <row r="21" spans="1:13" ht="20" thickBot="1" x14ac:dyDescent="0.3">
      <c r="A21" s="5" t="s">
        <v>3</v>
      </c>
      <c r="B21" s="5">
        <v>75.3</v>
      </c>
      <c r="C21" s="5">
        <v>20.23</v>
      </c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9" x14ac:dyDescent="0.25">
      <c r="A22" s="5" t="s">
        <v>38</v>
      </c>
      <c r="B22" s="5">
        <v>75</v>
      </c>
      <c r="C22" s="5">
        <v>45.62</v>
      </c>
      <c r="D22" s="5"/>
      <c r="E22" s="13" t="s">
        <v>341</v>
      </c>
      <c r="F22" s="13"/>
      <c r="G22" s="5"/>
      <c r="H22" s="5"/>
      <c r="I22" s="5"/>
      <c r="J22" s="5"/>
      <c r="K22" s="5"/>
      <c r="L22" s="5"/>
      <c r="M22" s="5"/>
    </row>
    <row r="23" spans="1:13" ht="19" x14ac:dyDescent="0.25">
      <c r="A23" s="5" t="s">
        <v>222</v>
      </c>
      <c r="B23" s="5">
        <v>74.2</v>
      </c>
      <c r="C23" s="5">
        <v>12.16</v>
      </c>
      <c r="D23" s="5"/>
      <c r="E23" s="5" t="s">
        <v>342</v>
      </c>
      <c r="F23" s="5">
        <v>0.88941603304338201</v>
      </c>
      <c r="G23" s="5"/>
      <c r="H23" s="5"/>
      <c r="I23" s="5"/>
      <c r="J23" s="5"/>
      <c r="K23" s="5"/>
      <c r="L23" s="5"/>
      <c r="M23" s="5"/>
    </row>
    <row r="24" spans="1:13" ht="19" x14ac:dyDescent="0.25">
      <c r="A24" s="5" t="s">
        <v>84</v>
      </c>
      <c r="B24" s="5">
        <v>71.400000000000006</v>
      </c>
      <c r="C24" s="5">
        <v>33.33</v>
      </c>
      <c r="D24" s="5"/>
      <c r="E24" s="28" t="s">
        <v>343</v>
      </c>
      <c r="F24" s="28">
        <v>0.79106087983462636</v>
      </c>
      <c r="G24" s="5"/>
      <c r="H24" s="5"/>
      <c r="I24" s="5"/>
      <c r="J24" s="5"/>
      <c r="K24" s="5"/>
      <c r="L24" s="5"/>
      <c r="M24" s="5"/>
    </row>
    <row r="25" spans="1:13" ht="19" x14ac:dyDescent="0.25">
      <c r="A25" s="5" t="s">
        <v>17</v>
      </c>
      <c r="B25" s="5">
        <v>71.2</v>
      </c>
      <c r="C25" s="5">
        <v>31.13</v>
      </c>
      <c r="D25" s="5"/>
      <c r="E25" s="5" t="s">
        <v>344</v>
      </c>
      <c r="F25" s="5">
        <v>0.78359876840014864</v>
      </c>
      <c r="G25" s="5"/>
      <c r="H25" s="5"/>
      <c r="I25" s="5"/>
      <c r="J25" s="5"/>
      <c r="K25" s="5"/>
      <c r="L25" s="5"/>
      <c r="M25" s="5"/>
    </row>
    <row r="26" spans="1:13" ht="19" x14ac:dyDescent="0.25">
      <c r="A26" s="5" t="s">
        <v>207</v>
      </c>
      <c r="B26" s="5">
        <v>56.1</v>
      </c>
      <c r="C26" s="5">
        <v>43.15</v>
      </c>
      <c r="D26" s="5"/>
      <c r="E26" s="5" t="s">
        <v>297</v>
      </c>
      <c r="F26" s="5">
        <v>7.9591968805662736</v>
      </c>
      <c r="G26" s="5"/>
      <c r="H26" s="5"/>
      <c r="I26" s="5"/>
      <c r="J26" s="5"/>
      <c r="K26" s="5"/>
      <c r="L26" s="5"/>
      <c r="M26" s="5"/>
    </row>
    <row r="27" spans="1:13" ht="20" thickBot="1" x14ac:dyDescent="0.3">
      <c r="A27" s="5" t="s">
        <v>132</v>
      </c>
      <c r="B27" s="5">
        <v>55.2</v>
      </c>
      <c r="C27" s="5">
        <v>34.19</v>
      </c>
      <c r="D27" s="5"/>
      <c r="E27" s="10" t="s">
        <v>345</v>
      </c>
      <c r="F27" s="10">
        <v>30</v>
      </c>
      <c r="G27" s="5"/>
      <c r="H27" s="5"/>
      <c r="I27" s="5"/>
      <c r="J27" s="5"/>
      <c r="K27" s="5"/>
      <c r="L27" s="5"/>
      <c r="M27" s="5"/>
    </row>
    <row r="28" spans="1:13" ht="19" x14ac:dyDescent="0.25">
      <c r="A28" s="5" t="s">
        <v>241</v>
      </c>
      <c r="B28" s="5">
        <v>55</v>
      </c>
      <c r="C28" s="5">
        <v>47.56</v>
      </c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ht="20" thickBot="1" x14ac:dyDescent="0.3">
      <c r="A29" s="5" t="s">
        <v>218</v>
      </c>
      <c r="B29" s="5">
        <v>51.2</v>
      </c>
      <c r="C29" s="5">
        <v>42.64</v>
      </c>
      <c r="D29" s="5"/>
      <c r="E29" s="5" t="s">
        <v>346</v>
      </c>
      <c r="F29" s="5"/>
      <c r="G29" s="5"/>
      <c r="H29" s="5"/>
      <c r="I29" s="5"/>
      <c r="J29" s="5"/>
      <c r="K29" s="5"/>
      <c r="L29" s="5"/>
      <c r="M29" s="5"/>
    </row>
    <row r="30" spans="1:13" ht="19" x14ac:dyDescent="0.25">
      <c r="A30" s="5" t="s">
        <v>22</v>
      </c>
      <c r="B30" s="5">
        <v>31.1</v>
      </c>
      <c r="C30" s="5">
        <v>57.23</v>
      </c>
      <c r="D30" s="5"/>
      <c r="E30" s="8"/>
      <c r="F30" s="8" t="s">
        <v>351</v>
      </c>
      <c r="G30" s="8" t="s">
        <v>352</v>
      </c>
      <c r="H30" s="8" t="s">
        <v>353</v>
      </c>
      <c r="I30" s="8" t="s">
        <v>354</v>
      </c>
      <c r="J30" s="8" t="s">
        <v>355</v>
      </c>
      <c r="K30" s="5"/>
      <c r="L30" s="5"/>
      <c r="M30" s="5"/>
    </row>
    <row r="31" spans="1:13" ht="19" x14ac:dyDescent="0.25">
      <c r="A31" s="5" t="s">
        <v>204</v>
      </c>
      <c r="B31" s="5">
        <v>28.9</v>
      </c>
      <c r="C31" s="5">
        <v>64.77</v>
      </c>
      <c r="D31" s="5"/>
      <c r="E31" s="5" t="s">
        <v>347</v>
      </c>
      <c r="F31" s="5">
        <v>1</v>
      </c>
      <c r="G31" s="5">
        <v>6715.6286471254216</v>
      </c>
      <c r="H31" s="5">
        <v>6715.6286471254216</v>
      </c>
      <c r="I31" s="5">
        <v>106.01032787846631</v>
      </c>
      <c r="J31" s="5">
        <v>5.0339325476210324E-11</v>
      </c>
      <c r="K31" s="5"/>
      <c r="L31" s="5"/>
      <c r="M31" s="5"/>
    </row>
    <row r="32" spans="1:13" ht="19" x14ac:dyDescent="0.25">
      <c r="A32" s="5"/>
      <c r="B32" s="5"/>
      <c r="C32" s="5"/>
      <c r="E32" s="5" t="s">
        <v>348</v>
      </c>
      <c r="F32" s="5">
        <v>28</v>
      </c>
      <c r="G32" s="5">
        <v>1773.7668195412452</v>
      </c>
      <c r="H32" s="5">
        <v>63.348814983615902</v>
      </c>
      <c r="I32" s="5"/>
      <c r="J32" s="5"/>
      <c r="K32" s="5"/>
      <c r="L32" s="5"/>
      <c r="M32" s="5"/>
    </row>
    <row r="33" spans="1:13" ht="20" thickBot="1" x14ac:dyDescent="0.3">
      <c r="A33" s="5"/>
      <c r="B33" s="11"/>
      <c r="C33" s="5"/>
      <c r="E33" s="10" t="s">
        <v>349</v>
      </c>
      <c r="F33" s="10">
        <v>29</v>
      </c>
      <c r="G33" s="10">
        <v>8489.3954666666668</v>
      </c>
      <c r="H33" s="10"/>
      <c r="I33" s="10"/>
      <c r="J33" s="10"/>
      <c r="K33" s="5"/>
      <c r="L33" s="5"/>
      <c r="M33" s="5"/>
    </row>
    <row r="34" spans="1:13" ht="20" thickBot="1" x14ac:dyDescent="0.3">
      <c r="A34" s="5"/>
      <c r="B34" s="5"/>
      <c r="C34" s="5"/>
      <c r="E34" s="5"/>
      <c r="F34" s="5"/>
      <c r="G34" s="5"/>
      <c r="H34" s="5"/>
      <c r="I34" s="5"/>
      <c r="J34" s="5"/>
      <c r="K34" s="5"/>
      <c r="L34" s="5"/>
      <c r="M34" s="5"/>
    </row>
    <row r="35" spans="1:13" ht="19" x14ac:dyDescent="0.25">
      <c r="A35" s="5"/>
      <c r="B35" s="5"/>
      <c r="C35" s="5"/>
      <c r="E35" s="8"/>
      <c r="F35" s="8" t="s">
        <v>356</v>
      </c>
      <c r="G35" s="8" t="s">
        <v>297</v>
      </c>
      <c r="H35" s="8" t="s">
        <v>357</v>
      </c>
      <c r="I35" s="8" t="s">
        <v>358</v>
      </c>
      <c r="J35" s="8" t="s">
        <v>359</v>
      </c>
      <c r="K35" s="8" t="s">
        <v>360</v>
      </c>
      <c r="L35" s="8" t="s">
        <v>389</v>
      </c>
      <c r="M35" s="8" t="s">
        <v>390</v>
      </c>
    </row>
    <row r="36" spans="1:13" ht="19" x14ac:dyDescent="0.25">
      <c r="A36" s="5"/>
      <c r="B36" s="5"/>
      <c r="C36" s="5"/>
      <c r="E36" s="5" t="s">
        <v>350</v>
      </c>
      <c r="F36" s="5">
        <v>81.544397509295663</v>
      </c>
      <c r="G36" s="5">
        <v>5.9325018148737749</v>
      </c>
      <c r="H36" s="5">
        <v>13.745364106733218</v>
      </c>
      <c r="I36" s="5">
        <v>5.6750298207349503E-14</v>
      </c>
      <c r="J36" s="5">
        <v>69.392218422994972</v>
      </c>
      <c r="K36" s="5">
        <v>93.696576595596355</v>
      </c>
      <c r="L36" s="5">
        <v>71.452435154425103</v>
      </c>
      <c r="M36" s="5">
        <v>91.636359864166224</v>
      </c>
    </row>
    <row r="37" spans="1:13" ht="20" thickBot="1" x14ac:dyDescent="0.3">
      <c r="A37" s="5" t="s">
        <v>203</v>
      </c>
      <c r="B37" s="5"/>
      <c r="C37" s="5"/>
      <c r="E37" s="10" t="s">
        <v>319</v>
      </c>
      <c r="F37" s="10">
        <v>-0.71910949780574374</v>
      </c>
      <c r="G37" s="10">
        <v>6.9842686468629456E-2</v>
      </c>
      <c r="H37" s="35">
        <v>-10.296131694887499</v>
      </c>
      <c r="I37" s="35">
        <v>5.0339325476210498E-11</v>
      </c>
      <c r="J37" s="10">
        <v>-0.86217575557025039</v>
      </c>
      <c r="K37" s="10">
        <v>-0.57604324004123708</v>
      </c>
      <c r="L37" s="35">
        <v>-0.83792105228976599</v>
      </c>
      <c r="M37" s="35">
        <v>-0.60029794332172148</v>
      </c>
    </row>
    <row r="38" spans="1:13" ht="19" x14ac:dyDescent="0.25">
      <c r="A38" s="5" t="s">
        <v>30</v>
      </c>
      <c r="B38" s="5"/>
      <c r="C38" s="5"/>
    </row>
    <row r="39" spans="1:13" ht="19" x14ac:dyDescent="0.25">
      <c r="A39" s="5" t="s">
        <v>185</v>
      </c>
      <c r="B39" s="5"/>
      <c r="C39" s="5"/>
    </row>
    <row r="40" spans="1:13" ht="19" x14ac:dyDescent="0.25">
      <c r="A40" s="5" t="s">
        <v>106</v>
      </c>
      <c r="B40" s="5"/>
      <c r="C40" s="5"/>
    </row>
    <row r="41" spans="1:13" ht="19" x14ac:dyDescent="0.25">
      <c r="A41" s="5" t="s">
        <v>226</v>
      </c>
      <c r="B41" s="5"/>
      <c r="C41" s="5"/>
    </row>
    <row r="42" spans="1:13" ht="19" x14ac:dyDescent="0.25">
      <c r="A42" s="5" t="s">
        <v>77</v>
      </c>
      <c r="B42" s="5"/>
      <c r="C42" s="5"/>
    </row>
    <row r="43" spans="1:13" ht="19" x14ac:dyDescent="0.25">
      <c r="A43" s="5" t="s">
        <v>141</v>
      </c>
      <c r="B43" s="5"/>
      <c r="C43" s="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A210-8833-A54A-8C25-1A219F06106B}">
  <dimension ref="A1:M31"/>
  <sheetViews>
    <sheetView workbookViewId="0">
      <selection activeCell="J24" sqref="J24"/>
    </sheetView>
  </sheetViews>
  <sheetFormatPr baseColWidth="10" defaultRowHeight="15" x14ac:dyDescent="0.2"/>
  <cols>
    <col min="1" max="1" width="23.6640625" customWidth="1"/>
    <col min="2" max="2" width="28.5" customWidth="1"/>
    <col min="3" max="3" width="55.5" customWidth="1"/>
    <col min="5" max="5" width="28.83203125" customWidth="1"/>
    <col min="6" max="6" width="23.1640625" customWidth="1"/>
    <col min="7" max="7" width="25" customWidth="1"/>
    <col min="8" max="8" width="22.5" customWidth="1"/>
    <col min="9" max="9" width="18" customWidth="1"/>
    <col min="10" max="10" width="29.6640625" customWidth="1"/>
    <col min="11" max="11" width="20.33203125" customWidth="1"/>
    <col min="12" max="12" width="23" customWidth="1"/>
    <col min="13" max="13" width="22.1640625" customWidth="1"/>
  </cols>
  <sheetData>
    <row r="1" spans="1:13" ht="19" x14ac:dyDescent="0.25">
      <c r="A1" s="5" t="s">
        <v>319</v>
      </c>
      <c r="B1" s="5" t="s">
        <v>392</v>
      </c>
      <c r="C1" s="5" t="s">
        <v>250</v>
      </c>
      <c r="E1" s="5" t="s">
        <v>340</v>
      </c>
      <c r="F1" s="5"/>
      <c r="G1" s="5"/>
      <c r="H1" s="5"/>
      <c r="I1" s="5"/>
      <c r="J1" s="5"/>
      <c r="K1" s="5"/>
      <c r="L1" s="5"/>
      <c r="M1" s="5"/>
    </row>
    <row r="2" spans="1:13" ht="20" thickBot="1" x14ac:dyDescent="0.3">
      <c r="A2" s="5">
        <v>99.9</v>
      </c>
      <c r="B2" s="5">
        <v>24.9</v>
      </c>
      <c r="C2" s="5">
        <v>4.93</v>
      </c>
      <c r="E2" s="5"/>
      <c r="F2" s="5"/>
      <c r="G2" s="5"/>
      <c r="H2" s="5"/>
      <c r="I2" s="5"/>
      <c r="J2" s="5"/>
      <c r="K2" s="5"/>
      <c r="L2" s="5"/>
      <c r="M2" s="5"/>
    </row>
    <row r="3" spans="1:13" ht="19" x14ac:dyDescent="0.25">
      <c r="A3" s="5">
        <v>99.5</v>
      </c>
      <c r="B3" s="5">
        <v>24.5</v>
      </c>
      <c r="C3" s="5">
        <v>26.26</v>
      </c>
      <c r="E3" s="13" t="s">
        <v>341</v>
      </c>
      <c r="F3" s="13"/>
      <c r="G3" s="5"/>
      <c r="H3" s="5"/>
      <c r="I3" s="5"/>
      <c r="J3" s="5"/>
      <c r="K3" s="5"/>
      <c r="L3" s="5"/>
      <c r="M3" s="5"/>
    </row>
    <row r="4" spans="1:13" ht="19" x14ac:dyDescent="0.25">
      <c r="A4" s="5">
        <v>99</v>
      </c>
      <c r="B4" s="5">
        <v>24</v>
      </c>
      <c r="C4" s="5">
        <v>7.84</v>
      </c>
      <c r="E4" s="5" t="s">
        <v>342</v>
      </c>
      <c r="F4" s="5">
        <v>0.88941603304338201</v>
      </c>
      <c r="G4" s="5"/>
      <c r="H4" s="5"/>
      <c r="I4" s="5"/>
      <c r="J4" s="5"/>
      <c r="K4" s="5"/>
      <c r="L4" s="5"/>
      <c r="M4" s="5"/>
    </row>
    <row r="5" spans="1:13" ht="19" x14ac:dyDescent="0.25">
      <c r="A5" s="5">
        <v>99</v>
      </c>
      <c r="B5" s="5">
        <v>24</v>
      </c>
      <c r="C5" s="5">
        <v>4.4400000000000004</v>
      </c>
      <c r="E5" s="5" t="s">
        <v>343</v>
      </c>
      <c r="F5" s="5">
        <v>0.79106087983462647</v>
      </c>
      <c r="G5" s="5"/>
      <c r="H5" s="5"/>
      <c r="I5" s="5"/>
      <c r="J5" s="5"/>
      <c r="K5" s="5"/>
      <c r="L5" s="5"/>
      <c r="M5" s="5"/>
    </row>
    <row r="6" spans="1:13" ht="19" x14ac:dyDescent="0.25">
      <c r="A6" s="5">
        <v>99</v>
      </c>
      <c r="B6" s="5">
        <v>24</v>
      </c>
      <c r="C6" s="5">
        <v>20.52</v>
      </c>
      <c r="E6" s="5" t="s">
        <v>344</v>
      </c>
      <c r="F6" s="5">
        <v>0.78359876840014875</v>
      </c>
      <c r="G6" s="5"/>
      <c r="H6" s="5"/>
      <c r="I6" s="5"/>
      <c r="J6" s="5"/>
      <c r="K6" s="5"/>
      <c r="L6" s="5"/>
      <c r="M6" s="5"/>
    </row>
    <row r="7" spans="1:13" ht="19" x14ac:dyDescent="0.25">
      <c r="A7" s="5">
        <v>99</v>
      </c>
      <c r="B7" s="5">
        <v>24</v>
      </c>
      <c r="C7" s="5">
        <v>4.9000000000000004</v>
      </c>
      <c r="E7" s="5" t="s">
        <v>297</v>
      </c>
      <c r="F7" s="38">
        <v>7.9591968805662709</v>
      </c>
      <c r="G7" s="5"/>
      <c r="H7" s="5"/>
      <c r="I7" s="5"/>
      <c r="J7" s="5"/>
      <c r="K7" s="5"/>
      <c r="L7" s="5"/>
      <c r="M7" s="5"/>
    </row>
    <row r="8" spans="1:13" ht="20" thickBot="1" x14ac:dyDescent="0.3">
      <c r="A8" s="5">
        <v>99</v>
      </c>
      <c r="B8" s="5">
        <v>24</v>
      </c>
      <c r="C8" s="5">
        <v>3.52</v>
      </c>
      <c r="E8" s="10" t="s">
        <v>345</v>
      </c>
      <c r="F8" s="10">
        <v>30</v>
      </c>
      <c r="G8" s="5"/>
      <c r="H8" s="5"/>
      <c r="I8" s="5"/>
      <c r="J8" s="5"/>
      <c r="K8" s="5"/>
      <c r="L8" s="5"/>
      <c r="M8" s="5"/>
    </row>
    <row r="9" spans="1:13" ht="19" x14ac:dyDescent="0.25">
      <c r="A9" s="5">
        <v>99</v>
      </c>
      <c r="B9" s="5">
        <v>24</v>
      </c>
      <c r="C9" s="5">
        <v>3.94</v>
      </c>
      <c r="E9" s="5"/>
      <c r="F9" s="5"/>
      <c r="G9" s="5"/>
      <c r="H9" s="5"/>
      <c r="I9" s="5"/>
      <c r="J9" s="5"/>
      <c r="K9" s="5"/>
      <c r="L9" s="5"/>
      <c r="M9" s="5"/>
    </row>
    <row r="10" spans="1:13" ht="20" thickBot="1" x14ac:dyDescent="0.3">
      <c r="A10" s="5">
        <v>99</v>
      </c>
      <c r="B10" s="5">
        <v>24</v>
      </c>
      <c r="C10" s="5">
        <v>8.0500000000000007</v>
      </c>
      <c r="E10" s="5" t="s">
        <v>346</v>
      </c>
      <c r="F10" s="5"/>
      <c r="G10" s="5"/>
      <c r="H10" s="5"/>
      <c r="I10" s="5"/>
      <c r="J10" s="5"/>
      <c r="K10" s="5"/>
      <c r="L10" s="5"/>
      <c r="M10" s="5"/>
    </row>
    <row r="11" spans="1:13" ht="19" x14ac:dyDescent="0.25">
      <c r="A11" s="5">
        <v>99</v>
      </c>
      <c r="B11" s="5">
        <v>24</v>
      </c>
      <c r="C11" s="5">
        <v>3.19</v>
      </c>
      <c r="E11" s="8"/>
      <c r="F11" s="8" t="s">
        <v>351</v>
      </c>
      <c r="G11" s="8" t="s">
        <v>352</v>
      </c>
      <c r="H11" s="8" t="s">
        <v>353</v>
      </c>
      <c r="I11" s="8" t="s">
        <v>354</v>
      </c>
      <c r="J11" s="8" t="s">
        <v>355</v>
      </c>
      <c r="K11" s="5"/>
      <c r="L11" s="5"/>
      <c r="M11" s="5"/>
    </row>
    <row r="12" spans="1:13" ht="19" x14ac:dyDescent="0.25">
      <c r="A12" s="5">
        <v>98.2</v>
      </c>
      <c r="B12" s="5">
        <v>23.2</v>
      </c>
      <c r="C12" s="5">
        <v>22.2</v>
      </c>
      <c r="E12" s="5" t="s">
        <v>347</v>
      </c>
      <c r="F12" s="5">
        <v>1</v>
      </c>
      <c r="G12" s="5">
        <v>6715.6286471254225</v>
      </c>
      <c r="H12" s="5">
        <v>6715.6286471254225</v>
      </c>
      <c r="I12" s="5">
        <v>106.01032787846641</v>
      </c>
      <c r="J12" s="5">
        <v>5.0339325476209768E-11</v>
      </c>
      <c r="K12" s="5"/>
      <c r="L12" s="5"/>
      <c r="M12" s="5"/>
    </row>
    <row r="13" spans="1:13" ht="19" x14ac:dyDescent="0.25">
      <c r="A13" s="5">
        <v>95.8</v>
      </c>
      <c r="B13" s="5">
        <v>20.8</v>
      </c>
      <c r="C13" s="5">
        <v>5.25</v>
      </c>
      <c r="E13" s="37" t="s">
        <v>348</v>
      </c>
      <c r="F13" s="37">
        <v>28</v>
      </c>
      <c r="G13" s="5">
        <v>1773.7668195412439</v>
      </c>
      <c r="H13" s="5">
        <v>63.348814983615853</v>
      </c>
      <c r="I13" s="5"/>
      <c r="J13" s="5"/>
      <c r="K13" s="5"/>
      <c r="L13" s="5"/>
      <c r="M13" s="5"/>
    </row>
    <row r="14" spans="1:13" ht="20" thickBot="1" x14ac:dyDescent="0.3">
      <c r="A14" s="5">
        <v>95.7</v>
      </c>
      <c r="B14" s="5">
        <v>20.7</v>
      </c>
      <c r="C14" s="5">
        <v>15.68</v>
      </c>
      <c r="E14" s="10" t="s">
        <v>349</v>
      </c>
      <c r="F14" s="10">
        <v>29</v>
      </c>
      <c r="G14" s="10">
        <v>8489.3954666666668</v>
      </c>
      <c r="H14" s="10"/>
      <c r="I14" s="10"/>
      <c r="J14" s="10"/>
      <c r="K14" s="5"/>
      <c r="L14" s="5"/>
      <c r="M14" s="5"/>
    </row>
    <row r="15" spans="1:13" ht="20" thickBot="1" x14ac:dyDescent="0.3">
      <c r="A15" s="5">
        <v>95.7</v>
      </c>
      <c r="B15" s="5">
        <v>20.7</v>
      </c>
      <c r="C15" s="5">
        <v>15.6</v>
      </c>
      <c r="E15" s="5"/>
      <c r="F15" s="5"/>
      <c r="G15" s="5"/>
      <c r="H15" s="5"/>
      <c r="I15" s="5"/>
      <c r="J15" s="5"/>
      <c r="K15" s="5"/>
      <c r="L15" s="5"/>
      <c r="M15" s="5"/>
    </row>
    <row r="16" spans="1:13" ht="19" x14ac:dyDescent="0.25">
      <c r="A16" s="5">
        <v>94</v>
      </c>
      <c r="B16" s="5">
        <v>19</v>
      </c>
      <c r="C16" s="5">
        <v>20.16</v>
      </c>
      <c r="E16" s="8"/>
      <c r="F16" s="8" t="s">
        <v>356</v>
      </c>
      <c r="G16" s="8" t="s">
        <v>297</v>
      </c>
      <c r="H16" s="8" t="s">
        <v>357</v>
      </c>
      <c r="I16" s="8" t="s">
        <v>358</v>
      </c>
      <c r="J16" s="8" t="s">
        <v>359</v>
      </c>
      <c r="K16" s="8" t="s">
        <v>360</v>
      </c>
      <c r="L16" s="8" t="s">
        <v>389</v>
      </c>
      <c r="M16" s="8" t="s">
        <v>390</v>
      </c>
    </row>
    <row r="17" spans="1:13" ht="19" x14ac:dyDescent="0.25">
      <c r="A17" s="5">
        <v>93.4</v>
      </c>
      <c r="B17" s="5">
        <v>18.399999999999999</v>
      </c>
      <c r="C17" s="5">
        <v>18.37</v>
      </c>
      <c r="E17" s="5" t="s">
        <v>350</v>
      </c>
      <c r="F17" s="37">
        <v>27.6111851738649</v>
      </c>
      <c r="G17" s="37">
        <v>1.5412293935206152</v>
      </c>
      <c r="H17" s="5">
        <v>17.9150393120864</v>
      </c>
      <c r="I17" s="5">
        <v>7.1276124263382719E-17</v>
      </c>
      <c r="J17" s="5">
        <v>24.454119877032518</v>
      </c>
      <c r="K17" s="5">
        <v>30.768250470697282</v>
      </c>
      <c r="L17" s="37">
        <v>24.989352175747058</v>
      </c>
      <c r="M17" s="37">
        <v>30.233018171982742</v>
      </c>
    </row>
    <row r="18" spans="1:13" ht="20" thickBot="1" x14ac:dyDescent="0.3">
      <c r="A18" s="5">
        <v>88.9</v>
      </c>
      <c r="B18" s="5">
        <v>13.9</v>
      </c>
      <c r="C18" s="5">
        <v>25.97</v>
      </c>
      <c r="E18" s="10" t="s">
        <v>392</v>
      </c>
      <c r="F18" s="10">
        <v>-0.71910949780574396</v>
      </c>
      <c r="G18" s="10">
        <v>6.9842686468629442E-2</v>
      </c>
      <c r="H18" s="10">
        <v>-10.296131694887473</v>
      </c>
      <c r="I18" s="10">
        <v>5.0339325476209768E-11</v>
      </c>
      <c r="J18" s="10">
        <v>-0.86217575557025061</v>
      </c>
      <c r="K18" s="10">
        <v>-0.5760432400412373</v>
      </c>
      <c r="L18" s="10">
        <v>-0.83792105228976621</v>
      </c>
      <c r="M18" s="10">
        <v>-0.60029794332172171</v>
      </c>
    </row>
    <row r="19" spans="1:13" ht="19" x14ac:dyDescent="0.25">
      <c r="A19" s="5">
        <v>87.3</v>
      </c>
      <c r="B19" s="5">
        <v>12.3</v>
      </c>
      <c r="C19" s="5">
        <v>15.39</v>
      </c>
    </row>
    <row r="20" spans="1:13" ht="19" x14ac:dyDescent="0.25">
      <c r="A20" s="5">
        <v>85.6</v>
      </c>
      <c r="B20" s="5">
        <v>10.6</v>
      </c>
      <c r="C20" s="5">
        <v>11.48</v>
      </c>
    </row>
    <row r="21" spans="1:13" ht="19" x14ac:dyDescent="0.25">
      <c r="A21" s="5">
        <v>75.3</v>
      </c>
      <c r="B21" s="5">
        <v>0.3</v>
      </c>
      <c r="C21" s="5">
        <v>20.23</v>
      </c>
    </row>
    <row r="22" spans="1:13" ht="19" x14ac:dyDescent="0.25">
      <c r="A22" s="5">
        <v>75</v>
      </c>
      <c r="B22" s="5">
        <v>0</v>
      </c>
      <c r="C22" s="5">
        <v>45.62</v>
      </c>
    </row>
    <row r="23" spans="1:13" ht="19" x14ac:dyDescent="0.25">
      <c r="A23" s="5">
        <v>74.2</v>
      </c>
      <c r="B23" s="5">
        <v>-0.8</v>
      </c>
      <c r="C23" s="5">
        <v>12.16</v>
      </c>
    </row>
    <row r="24" spans="1:13" ht="19" x14ac:dyDescent="0.25">
      <c r="A24" s="5">
        <v>71.400000000000006</v>
      </c>
      <c r="B24" s="5">
        <v>-3.6</v>
      </c>
      <c r="C24" s="5">
        <v>33.33</v>
      </c>
    </row>
    <row r="25" spans="1:13" ht="19" x14ac:dyDescent="0.25">
      <c r="A25" s="5">
        <v>71.2</v>
      </c>
      <c r="B25" s="5">
        <v>-3.8</v>
      </c>
      <c r="C25" s="5">
        <v>31.13</v>
      </c>
    </row>
    <row r="26" spans="1:13" ht="19" x14ac:dyDescent="0.25">
      <c r="A26" s="5">
        <v>56.1</v>
      </c>
      <c r="B26" s="5">
        <v>-18.899999999999999</v>
      </c>
      <c r="C26" s="5">
        <v>43.15</v>
      </c>
    </row>
    <row r="27" spans="1:13" ht="19" x14ac:dyDescent="0.25">
      <c r="A27" s="5">
        <v>55.2</v>
      </c>
      <c r="B27" s="5">
        <v>-19.8</v>
      </c>
      <c r="C27" s="5">
        <v>34.19</v>
      </c>
    </row>
    <row r="28" spans="1:13" ht="19" x14ac:dyDescent="0.25">
      <c r="A28" s="5">
        <v>55</v>
      </c>
      <c r="B28" s="5">
        <v>-20</v>
      </c>
      <c r="C28" s="5">
        <v>47.56</v>
      </c>
    </row>
    <row r="29" spans="1:13" ht="19" x14ac:dyDescent="0.25">
      <c r="A29" s="5">
        <v>51.2</v>
      </c>
      <c r="B29" s="5">
        <v>-23.8</v>
      </c>
      <c r="C29" s="5">
        <v>42.64</v>
      </c>
    </row>
    <row r="30" spans="1:13" ht="19" x14ac:dyDescent="0.25">
      <c r="A30" s="5">
        <v>31.1</v>
      </c>
      <c r="B30" s="5">
        <v>-43.9</v>
      </c>
      <c r="C30" s="5">
        <v>57.23</v>
      </c>
    </row>
    <row r="31" spans="1:13" ht="19" x14ac:dyDescent="0.25">
      <c r="A31" s="5">
        <v>28.9</v>
      </c>
      <c r="B31" s="5">
        <v>-46.1</v>
      </c>
      <c r="C31" s="5">
        <v>64.77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of Contents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Company>University of Texas at Arlington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Whiteside, Mary M</dc:creator>
  <cp:lastModifiedBy>Microsoft Office User</cp:lastModifiedBy>
  <dcterms:created xsi:type="dcterms:W3CDTF">2019-10-13T21:03:21Z</dcterms:created>
  <dcterms:modified xsi:type="dcterms:W3CDTF">2023-12-01T18:43:26Z</dcterms:modified>
</cp:coreProperties>
</file>